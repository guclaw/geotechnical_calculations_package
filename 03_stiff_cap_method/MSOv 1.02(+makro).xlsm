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\\172.24.10.201\Projektant\- Biblioteka projektanta - czytelnia\0_Kalkulatory, algorytmy PPI\"/>
    </mc:Choice>
  </mc:AlternateContent>
  <bookViews>
    <workbookView xWindow="0" yWindow="0" windowWidth="28800" windowHeight="12435" tabRatio="791"/>
  </bookViews>
  <sheets>
    <sheet name="MSO-B47" sheetId="167" r:id="rId1"/>
    <sheet name="W9 (6 szt.)" sheetId="154" state="hidden" r:id="rId2"/>
  </sheets>
  <definedNames>
    <definedName name="_xlnm.Print_Area" localSheetId="0">'MSO-B47'!$B$3:$T$187</definedName>
    <definedName name="_xlnm.Print_Area" localSheetId="1">'W9 (6 szt.)'!$B$3:$T$187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7" i="167" l="1"/>
  <c r="H36" i="167"/>
  <c r="H35" i="167"/>
  <c r="H31" i="167"/>
  <c r="H30" i="167"/>
  <c r="AE21" i="167" l="1"/>
  <c r="AD21" i="167"/>
  <c r="AC21" i="167"/>
  <c r="L11" i="167"/>
  <c r="L17" i="167"/>
  <c r="L19" i="167"/>
  <c r="C68" i="167" l="1"/>
  <c r="C69" i="167"/>
  <c r="I69" i="167"/>
  <c r="H69" i="167"/>
  <c r="G69" i="167"/>
  <c r="I68" i="167"/>
  <c r="H68" i="167"/>
  <c r="G68" i="167"/>
  <c r="I67" i="167"/>
  <c r="H67" i="167"/>
  <c r="G67" i="167"/>
  <c r="I66" i="167"/>
  <c r="H66" i="167"/>
  <c r="G66" i="167"/>
  <c r="I65" i="167"/>
  <c r="H65" i="167"/>
  <c r="G65" i="167"/>
  <c r="I64" i="167"/>
  <c r="H64" i="167"/>
  <c r="G64" i="167"/>
  <c r="I63" i="167"/>
  <c r="H63" i="167"/>
  <c r="G63" i="167"/>
  <c r="I62" i="167"/>
  <c r="H62" i="167"/>
  <c r="G62" i="167"/>
  <c r="I61" i="167"/>
  <c r="H61" i="167"/>
  <c r="G61" i="167"/>
  <c r="I60" i="167"/>
  <c r="H60" i="167"/>
  <c r="G60" i="167"/>
  <c r="I59" i="167"/>
  <c r="H59" i="167"/>
  <c r="G59" i="167"/>
  <c r="I58" i="167"/>
  <c r="H58" i="167"/>
  <c r="G58" i="167"/>
  <c r="I57" i="167"/>
  <c r="H57" i="167"/>
  <c r="G57" i="167"/>
  <c r="I56" i="167"/>
  <c r="H56" i="167"/>
  <c r="G56" i="167"/>
  <c r="I55" i="167"/>
  <c r="H55" i="167"/>
  <c r="G55" i="167"/>
  <c r="I54" i="167"/>
  <c r="H54" i="167"/>
  <c r="G54" i="167"/>
  <c r="I53" i="167"/>
  <c r="H53" i="167"/>
  <c r="G53" i="167"/>
  <c r="I52" i="167"/>
  <c r="H52" i="167"/>
  <c r="G52" i="167"/>
  <c r="I51" i="167"/>
  <c r="H51" i="167"/>
  <c r="G51" i="167"/>
  <c r="I50" i="167"/>
  <c r="H50" i="167"/>
  <c r="G50" i="167"/>
  <c r="I49" i="167"/>
  <c r="H49" i="167"/>
  <c r="G49" i="167"/>
  <c r="I48" i="167"/>
  <c r="H48" i="167"/>
  <c r="G48" i="167"/>
  <c r="I47" i="167"/>
  <c r="H47" i="167"/>
  <c r="G47" i="167"/>
  <c r="L21" i="167" l="1"/>
  <c r="L20" i="167"/>
  <c r="L18" i="167"/>
  <c r="C64" i="167" l="1"/>
  <c r="C65" i="167"/>
  <c r="C66" i="167"/>
  <c r="C67" i="167"/>
  <c r="E162" i="167"/>
  <c r="E161" i="167"/>
  <c r="E160" i="167"/>
  <c r="D160" i="167"/>
  <c r="D162" i="167" s="1"/>
  <c r="E159" i="167"/>
  <c r="E163" i="167" s="1"/>
  <c r="D159" i="167"/>
  <c r="F146" i="167"/>
  <c r="E146" i="167"/>
  <c r="D146" i="167"/>
  <c r="B145" i="167"/>
  <c r="B144" i="167"/>
  <c r="B143" i="167"/>
  <c r="B142" i="167"/>
  <c r="B141" i="167"/>
  <c r="B140" i="167"/>
  <c r="B139" i="167"/>
  <c r="B138" i="167"/>
  <c r="B137" i="167"/>
  <c r="B136" i="167"/>
  <c r="B135" i="167"/>
  <c r="B134" i="167"/>
  <c r="B133" i="167"/>
  <c r="B132" i="167"/>
  <c r="B131" i="167"/>
  <c r="B130" i="167"/>
  <c r="B129" i="167"/>
  <c r="B128" i="167"/>
  <c r="B127" i="167"/>
  <c r="B126" i="167"/>
  <c r="B125" i="167"/>
  <c r="B124" i="167"/>
  <c r="B123" i="167"/>
  <c r="B122" i="167"/>
  <c r="B121" i="167"/>
  <c r="B120" i="167"/>
  <c r="B119" i="167"/>
  <c r="B118" i="167"/>
  <c r="B117" i="167"/>
  <c r="B116" i="167"/>
  <c r="B115" i="167"/>
  <c r="B114" i="167"/>
  <c r="B113" i="167"/>
  <c r="B112" i="167"/>
  <c r="B111" i="167"/>
  <c r="B110" i="167"/>
  <c r="B109" i="167"/>
  <c r="B108" i="167"/>
  <c r="B107" i="167"/>
  <c r="B106" i="167"/>
  <c r="B105" i="167"/>
  <c r="B104" i="167"/>
  <c r="B103" i="167"/>
  <c r="B102" i="167"/>
  <c r="B101" i="167"/>
  <c r="B100" i="167"/>
  <c r="B99" i="167"/>
  <c r="B98" i="167"/>
  <c r="B97" i="167"/>
  <c r="B96" i="167"/>
  <c r="B95" i="167"/>
  <c r="B94" i="167"/>
  <c r="B93" i="167"/>
  <c r="B92" i="167"/>
  <c r="B91" i="167"/>
  <c r="B90" i="167"/>
  <c r="B89" i="167"/>
  <c r="B88" i="167"/>
  <c r="B87" i="167"/>
  <c r="B86" i="167"/>
  <c r="B85" i="167"/>
  <c r="B84" i="167"/>
  <c r="B83" i="167"/>
  <c r="B82" i="167"/>
  <c r="B81" i="167"/>
  <c r="B80" i="167"/>
  <c r="B79" i="167"/>
  <c r="B78" i="167"/>
  <c r="B77" i="167"/>
  <c r="B76" i="167"/>
  <c r="B75" i="167"/>
  <c r="B74" i="167"/>
  <c r="B73" i="167"/>
  <c r="B72" i="167"/>
  <c r="B71" i="167"/>
  <c r="B70" i="167"/>
  <c r="C49" i="167"/>
  <c r="C48" i="167"/>
  <c r="C47" i="167"/>
  <c r="I46" i="167"/>
  <c r="H46" i="167"/>
  <c r="G46" i="167"/>
  <c r="L31" i="167"/>
  <c r="L14" i="167"/>
  <c r="L12" i="167" s="1"/>
  <c r="L9" i="167"/>
  <c r="L8" i="167"/>
  <c r="L7" i="167"/>
  <c r="D151" i="167" l="1"/>
  <c r="N148" i="167" s="1"/>
  <c r="D152" i="167"/>
  <c r="Q148" i="167" s="1"/>
  <c r="I146" i="167"/>
  <c r="G146" i="167"/>
  <c r="D161" i="167"/>
  <c r="L32" i="167"/>
  <c r="L27" i="167"/>
  <c r="H146" i="167"/>
  <c r="O148" i="167"/>
  <c r="O149" i="167"/>
  <c r="R149" i="167"/>
  <c r="D163" i="167"/>
  <c r="R148" i="167" s="1"/>
  <c r="L25" i="167"/>
  <c r="H38" i="167"/>
  <c r="L30" i="167" s="1"/>
  <c r="J55" i="167" s="1"/>
  <c r="C51" i="167"/>
  <c r="L24" i="167"/>
  <c r="L26" i="167"/>
  <c r="C50" i="167"/>
  <c r="N149" i="167" l="1"/>
  <c r="N46" i="167"/>
  <c r="J54" i="167"/>
  <c r="J56" i="167"/>
  <c r="J47" i="167"/>
  <c r="J49" i="167"/>
  <c r="J65" i="167"/>
  <c r="J63" i="167"/>
  <c r="J48" i="167"/>
  <c r="J64" i="167"/>
  <c r="J57" i="167"/>
  <c r="J50" i="167"/>
  <c r="J66" i="167"/>
  <c r="J59" i="167"/>
  <c r="J52" i="167"/>
  <c r="J68" i="167"/>
  <c r="J61" i="167"/>
  <c r="J58" i="167"/>
  <c r="J51" i="167"/>
  <c r="J67" i="167"/>
  <c r="J60" i="167"/>
  <c r="J53" i="167"/>
  <c r="J69" i="167"/>
  <c r="J62" i="167"/>
  <c r="O69" i="167"/>
  <c r="Q69" i="167" s="1"/>
  <c r="O63" i="167"/>
  <c r="Q63" i="167" s="1"/>
  <c r="O61" i="167"/>
  <c r="Q61" i="167" s="1"/>
  <c r="O59" i="167"/>
  <c r="Q59" i="167" s="1"/>
  <c r="O57" i="167"/>
  <c r="Q57" i="167" s="1"/>
  <c r="O55" i="167"/>
  <c r="Q55" i="167" s="1"/>
  <c r="O53" i="167"/>
  <c r="Q53" i="167" s="1"/>
  <c r="O66" i="167"/>
  <c r="Q66" i="167" s="1"/>
  <c r="O65" i="167"/>
  <c r="Q65" i="167" s="1"/>
  <c r="O47" i="167"/>
  <c r="Q47" i="167" s="1"/>
  <c r="O67" i="167"/>
  <c r="Q67" i="167" s="1"/>
  <c r="O51" i="167"/>
  <c r="Q51" i="167" s="1"/>
  <c r="O49" i="167"/>
  <c r="Q49" i="167" s="1"/>
  <c r="O60" i="167"/>
  <c r="Q60" i="167" s="1"/>
  <c r="O56" i="167"/>
  <c r="Q56" i="167" s="1"/>
  <c r="O52" i="167"/>
  <c r="Q52" i="167" s="1"/>
  <c r="O48" i="167"/>
  <c r="Q48" i="167" s="1"/>
  <c r="O68" i="167"/>
  <c r="Q68" i="167" s="1"/>
  <c r="O58" i="167"/>
  <c r="Q58" i="167" s="1"/>
  <c r="O50" i="167"/>
  <c r="Q50" i="167" s="1"/>
  <c r="O64" i="167"/>
  <c r="Q64" i="167" s="1"/>
  <c r="O62" i="167"/>
  <c r="Q62" i="167" s="1"/>
  <c r="O54" i="167"/>
  <c r="Q54" i="167" s="1"/>
  <c r="N68" i="167"/>
  <c r="N66" i="167"/>
  <c r="N64" i="167"/>
  <c r="N62" i="167"/>
  <c r="N60" i="167"/>
  <c r="N58" i="167"/>
  <c r="N56" i="167"/>
  <c r="N54" i="167"/>
  <c r="N52" i="167"/>
  <c r="N146" i="167" s="1"/>
  <c r="N50" i="167"/>
  <c r="N48" i="167"/>
  <c r="N69" i="167"/>
  <c r="N67" i="167"/>
  <c r="N65" i="167"/>
  <c r="N63" i="167"/>
  <c r="N61" i="167"/>
  <c r="N59" i="167"/>
  <c r="N57" i="167"/>
  <c r="N55" i="167"/>
  <c r="N53" i="167"/>
  <c r="N51" i="167"/>
  <c r="N49" i="167"/>
  <c r="N47" i="167"/>
  <c r="O46" i="167"/>
  <c r="Q46" i="167" s="1"/>
  <c r="Q149" i="167"/>
  <c r="L33" i="167"/>
  <c r="L34" i="167"/>
  <c r="C53" i="167"/>
  <c r="J46" i="167"/>
  <c r="C54" i="167"/>
  <c r="C52" i="167"/>
  <c r="P46" i="167"/>
  <c r="R57" i="167" l="1"/>
  <c r="P57" i="167"/>
  <c r="P50" i="167"/>
  <c r="R50" i="167"/>
  <c r="P66" i="167"/>
  <c r="R66" i="167"/>
  <c r="R59" i="167"/>
  <c r="P59" i="167"/>
  <c r="P52" i="167"/>
  <c r="R52" i="167"/>
  <c r="R68" i="167"/>
  <c r="P68" i="167"/>
  <c r="R61" i="167"/>
  <c r="P61" i="167"/>
  <c r="P54" i="167"/>
  <c r="R54" i="167"/>
  <c r="R47" i="167"/>
  <c r="P47" i="167"/>
  <c r="R63" i="167"/>
  <c r="P63" i="167"/>
  <c r="P56" i="167"/>
  <c r="R56" i="167"/>
  <c r="R51" i="167"/>
  <c r="P51" i="167"/>
  <c r="R67" i="167"/>
  <c r="P67" i="167"/>
  <c r="P60" i="167"/>
  <c r="R60" i="167"/>
  <c r="R53" i="167"/>
  <c r="P53" i="167"/>
  <c r="R69" i="167"/>
  <c r="P69" i="167"/>
  <c r="R62" i="167"/>
  <c r="P62" i="167"/>
  <c r="R49" i="167"/>
  <c r="P49" i="167"/>
  <c r="R65" i="167"/>
  <c r="P65" i="167"/>
  <c r="P58" i="167"/>
  <c r="R58" i="167"/>
  <c r="R55" i="167"/>
  <c r="P55" i="167"/>
  <c r="P48" i="167"/>
  <c r="R48" i="167"/>
  <c r="P64" i="167"/>
  <c r="R64" i="167"/>
  <c r="R46" i="167"/>
  <c r="Q146" i="167"/>
  <c r="I151" i="167" s="1"/>
  <c r="O146" i="167"/>
  <c r="C56" i="167"/>
  <c r="C55" i="167"/>
  <c r="P146" i="167" l="1"/>
  <c r="I152" i="167" s="1"/>
  <c r="R146" i="167"/>
  <c r="I153" i="167" s="1"/>
  <c r="C57" i="167"/>
  <c r="K66" i="167" l="1"/>
  <c r="L65" i="167"/>
  <c r="L63" i="167"/>
  <c r="L59" i="167"/>
  <c r="K59" i="167"/>
  <c r="K53" i="167"/>
  <c r="K68" i="167"/>
  <c r="K64" i="167"/>
  <c r="K62" i="167"/>
  <c r="K58" i="167"/>
  <c r="K54" i="167"/>
  <c r="K52" i="167"/>
  <c r="K50" i="167"/>
  <c r="L69" i="167"/>
  <c r="L55" i="167"/>
  <c r="K67" i="167"/>
  <c r="K47" i="167"/>
  <c r="L68" i="167"/>
  <c r="L66" i="167"/>
  <c r="L64" i="167"/>
  <c r="L62" i="167"/>
  <c r="L60" i="167"/>
  <c r="L58" i="167"/>
  <c r="L56" i="167"/>
  <c r="L54" i="167"/>
  <c r="L52" i="167"/>
  <c r="L50" i="167"/>
  <c r="L48" i="167"/>
  <c r="K60" i="167"/>
  <c r="K56" i="167"/>
  <c r="K48" i="167"/>
  <c r="L61" i="167"/>
  <c r="L57" i="167"/>
  <c r="L47" i="167"/>
  <c r="L67" i="167"/>
  <c r="L51" i="167"/>
  <c r="K61" i="167"/>
  <c r="L53" i="167"/>
  <c r="L49" i="167"/>
  <c r="K69" i="167"/>
  <c r="K65" i="167"/>
  <c r="K63" i="167"/>
  <c r="K57" i="167"/>
  <c r="K55" i="167"/>
  <c r="K51" i="167"/>
  <c r="K49" i="167"/>
  <c r="L46" i="167"/>
  <c r="K46" i="167"/>
  <c r="C59" i="167"/>
  <c r="C58" i="167"/>
  <c r="C60" i="167" s="1"/>
  <c r="M68" i="167" l="1"/>
  <c r="B68" i="167" s="1"/>
  <c r="M57" i="167"/>
  <c r="B57" i="167" s="1"/>
  <c r="M51" i="167"/>
  <c r="B51" i="167" s="1"/>
  <c r="M59" i="167"/>
  <c r="B59" i="167" s="1"/>
  <c r="M65" i="167"/>
  <c r="B65" i="167" s="1"/>
  <c r="M69" i="167"/>
  <c r="B69" i="167" s="1"/>
  <c r="M67" i="167"/>
  <c r="B67" i="167" s="1"/>
  <c r="M64" i="167"/>
  <c r="B64" i="167" s="1"/>
  <c r="M48" i="167"/>
  <c r="B48" i="167" s="1"/>
  <c r="M54" i="167"/>
  <c r="B54" i="167" s="1"/>
  <c r="M49" i="167"/>
  <c r="B49" i="167" s="1"/>
  <c r="M56" i="167"/>
  <c r="B56" i="167" s="1"/>
  <c r="M53" i="167"/>
  <c r="B53" i="167" s="1"/>
  <c r="M61" i="167"/>
  <c r="B61" i="167" s="1"/>
  <c r="M60" i="167"/>
  <c r="B60" i="167" s="1"/>
  <c r="M50" i="167"/>
  <c r="B50" i="167" s="1"/>
  <c r="M55" i="167"/>
  <c r="B55" i="167" s="1"/>
  <c r="M52" i="167"/>
  <c r="B52" i="167" s="1"/>
  <c r="M63" i="167"/>
  <c r="B63" i="167" s="1"/>
  <c r="M58" i="167"/>
  <c r="B58" i="167" s="1"/>
  <c r="M47" i="167"/>
  <c r="B47" i="167" s="1"/>
  <c r="M62" i="167"/>
  <c r="B62" i="167" s="1"/>
  <c r="M66" i="167"/>
  <c r="B66" i="167" s="1"/>
  <c r="M46" i="167"/>
  <c r="B46" i="167" s="1"/>
  <c r="C61" i="167"/>
  <c r="C62" i="167" s="1"/>
  <c r="C63" i="167" s="1"/>
  <c r="G42" i="167" s="1"/>
  <c r="M148" i="167" s="1"/>
  <c r="O165" i="167" s="1"/>
  <c r="P13" i="167" s="1"/>
  <c r="M146" i="167" l="1"/>
  <c r="H156" i="167" s="1"/>
  <c r="L156" i="167" s="1"/>
  <c r="M147" i="167"/>
  <c r="O164" i="167" s="1"/>
  <c r="O13" i="167" s="1"/>
  <c r="O163" i="167" l="1"/>
  <c r="N13" i="167" s="1"/>
  <c r="J156" i="167"/>
  <c r="K156" i="167"/>
  <c r="H157" i="167"/>
  <c r="K157" i="167" s="1"/>
  <c r="L157" i="167" l="1"/>
  <c r="J157" i="167"/>
  <c r="E162" i="154" l="1"/>
  <c r="D162" i="154"/>
  <c r="E161" i="154"/>
  <c r="D161" i="154"/>
  <c r="D160" i="154"/>
  <c r="E159" i="154"/>
  <c r="D159" i="154"/>
  <c r="D163" i="154" s="1"/>
  <c r="R148" i="154" s="1"/>
  <c r="D152" i="154"/>
  <c r="O51" i="154" s="1"/>
  <c r="Q51" i="154" s="1"/>
  <c r="F146" i="154"/>
  <c r="D151" i="154" s="1"/>
  <c r="E146" i="154"/>
  <c r="D146" i="154"/>
  <c r="B145" i="154"/>
  <c r="B144" i="154"/>
  <c r="B143" i="154"/>
  <c r="B142" i="154"/>
  <c r="B141" i="154"/>
  <c r="B140" i="154"/>
  <c r="B139" i="154"/>
  <c r="B138" i="154"/>
  <c r="B137" i="154"/>
  <c r="B136" i="154"/>
  <c r="B135" i="154"/>
  <c r="B134" i="154"/>
  <c r="B133" i="154"/>
  <c r="B132" i="154"/>
  <c r="B131" i="154"/>
  <c r="B130" i="154"/>
  <c r="B129" i="154"/>
  <c r="B128" i="154"/>
  <c r="B127" i="154"/>
  <c r="B126" i="154"/>
  <c r="B125" i="154"/>
  <c r="B124" i="154"/>
  <c r="B123" i="154"/>
  <c r="B122" i="154"/>
  <c r="B121" i="154"/>
  <c r="B120" i="154"/>
  <c r="B119" i="154"/>
  <c r="B118" i="154"/>
  <c r="B117" i="154"/>
  <c r="B116" i="154"/>
  <c r="B115" i="154"/>
  <c r="B114" i="154"/>
  <c r="B113" i="154"/>
  <c r="B112" i="154"/>
  <c r="B111" i="154"/>
  <c r="B110" i="154"/>
  <c r="B109" i="154"/>
  <c r="B108" i="154"/>
  <c r="B107" i="154"/>
  <c r="B106" i="154"/>
  <c r="B105" i="154"/>
  <c r="B104" i="154"/>
  <c r="B103" i="154"/>
  <c r="B102" i="154"/>
  <c r="B101" i="154"/>
  <c r="B100" i="154"/>
  <c r="B99" i="154"/>
  <c r="B98" i="154"/>
  <c r="B97" i="154"/>
  <c r="B96" i="154"/>
  <c r="B95" i="154"/>
  <c r="B94" i="154"/>
  <c r="B93" i="154"/>
  <c r="B92" i="154"/>
  <c r="B91" i="154"/>
  <c r="B90" i="154"/>
  <c r="B89" i="154"/>
  <c r="B88" i="154"/>
  <c r="B87" i="154"/>
  <c r="B86" i="154"/>
  <c r="B85" i="154"/>
  <c r="B84" i="154"/>
  <c r="B83" i="154"/>
  <c r="B82" i="154"/>
  <c r="B81" i="154"/>
  <c r="B80" i="154"/>
  <c r="B79" i="154"/>
  <c r="B78" i="154"/>
  <c r="B77" i="154"/>
  <c r="B76" i="154"/>
  <c r="B75" i="154"/>
  <c r="B74" i="154"/>
  <c r="B73" i="154"/>
  <c r="B72" i="154"/>
  <c r="B71" i="154"/>
  <c r="B70" i="154"/>
  <c r="B69" i="154"/>
  <c r="B68" i="154"/>
  <c r="B67" i="154"/>
  <c r="B66" i="154"/>
  <c r="B65" i="154"/>
  <c r="B64" i="154"/>
  <c r="B63" i="154"/>
  <c r="B62" i="154"/>
  <c r="B61" i="154"/>
  <c r="B60" i="154"/>
  <c r="B59" i="154"/>
  <c r="B58" i="154"/>
  <c r="B57" i="154"/>
  <c r="B56" i="154"/>
  <c r="B55" i="154"/>
  <c r="B54" i="154"/>
  <c r="B53" i="154"/>
  <c r="B52" i="154"/>
  <c r="I51" i="154"/>
  <c r="H51" i="154"/>
  <c r="G51" i="154"/>
  <c r="I50" i="154"/>
  <c r="H50" i="154"/>
  <c r="G50" i="154"/>
  <c r="I49" i="154"/>
  <c r="H49" i="154"/>
  <c r="G49" i="154"/>
  <c r="C49" i="154"/>
  <c r="I48" i="154"/>
  <c r="H48" i="154"/>
  <c r="G48" i="154"/>
  <c r="C48" i="154"/>
  <c r="I47" i="154"/>
  <c r="H47" i="154"/>
  <c r="G47" i="154"/>
  <c r="C47" i="154"/>
  <c r="C50" i="154" s="1"/>
  <c r="I46" i="154"/>
  <c r="I146" i="154" s="1"/>
  <c r="H46" i="154"/>
  <c r="H146" i="154" s="1"/>
  <c r="G46" i="154"/>
  <c r="G146" i="154" s="1"/>
  <c r="H35" i="154"/>
  <c r="H30" i="154"/>
  <c r="H36" i="154" s="1"/>
  <c r="H38" i="154" s="1"/>
  <c r="L30" i="154" s="1"/>
  <c r="AE27" i="154"/>
  <c r="P16" i="154" s="1"/>
  <c r="AD27" i="154"/>
  <c r="AC27" i="154"/>
  <c r="L25" i="154"/>
  <c r="L24" i="154"/>
  <c r="L21" i="154"/>
  <c r="L20" i="154"/>
  <c r="L19" i="154"/>
  <c r="L32" i="154" s="1"/>
  <c r="L18" i="154"/>
  <c r="L31" i="154" s="1"/>
  <c r="L17" i="154"/>
  <c r="O16" i="154"/>
  <c r="N16" i="154"/>
  <c r="L14" i="154"/>
  <c r="H31" i="154" s="1"/>
  <c r="H37" i="154" s="1"/>
  <c r="L11" i="154"/>
  <c r="L12" i="154" s="1"/>
  <c r="L26" i="154" s="1"/>
  <c r="L9" i="154"/>
  <c r="L8" i="154"/>
  <c r="L7" i="154"/>
  <c r="L34" i="154" l="1"/>
  <c r="J48" i="154"/>
  <c r="J50" i="154"/>
  <c r="J46" i="154"/>
  <c r="J47" i="154"/>
  <c r="J49" i="154"/>
  <c r="J51" i="154"/>
  <c r="L33" i="154"/>
  <c r="N50" i="154"/>
  <c r="N46" i="154"/>
  <c r="N148" i="154"/>
  <c r="N149" i="154"/>
  <c r="N49" i="154"/>
  <c r="N51" i="154"/>
  <c r="N47" i="154"/>
  <c r="N48" i="154"/>
  <c r="O46" i="154"/>
  <c r="O50" i="154"/>
  <c r="Q50" i="154" s="1"/>
  <c r="Q148" i="154"/>
  <c r="O48" i="154"/>
  <c r="Q48" i="154" s="1"/>
  <c r="Q149" i="154"/>
  <c r="E163" i="154"/>
  <c r="L27" i="154"/>
  <c r="C51" i="154"/>
  <c r="G42" i="154" s="1"/>
  <c r="R149" i="154"/>
  <c r="O49" i="154"/>
  <c r="Q49" i="154" s="1"/>
  <c r="E160" i="154"/>
  <c r="O47" i="154"/>
  <c r="Q47" i="154" s="1"/>
  <c r="P30" i="154" l="1"/>
  <c r="Q30" i="154" s="1"/>
  <c r="M148" i="154"/>
  <c r="O165" i="154" s="1"/>
  <c r="P13" i="154" s="1"/>
  <c r="R48" i="154"/>
  <c r="P48" i="154"/>
  <c r="P47" i="154"/>
  <c r="R47" i="154"/>
  <c r="P51" i="154"/>
  <c r="R51" i="154"/>
  <c r="R49" i="154"/>
  <c r="P49" i="154"/>
  <c r="O149" i="154"/>
  <c r="N146" i="154"/>
  <c r="P46" i="154"/>
  <c r="R46" i="154"/>
  <c r="Q46" i="154"/>
  <c r="Q146" i="154" s="1"/>
  <c r="I151" i="154" s="1"/>
  <c r="O146" i="154"/>
  <c r="R50" i="154"/>
  <c r="P50" i="154"/>
  <c r="O148" i="154"/>
  <c r="R146" i="154" l="1"/>
  <c r="I153" i="154" s="1"/>
  <c r="P146" i="154"/>
  <c r="I152" i="154" s="1"/>
  <c r="L51" i="154" l="1"/>
  <c r="L47" i="154"/>
  <c r="K49" i="154"/>
  <c r="K51" i="154"/>
  <c r="L49" i="154"/>
  <c r="L48" i="154"/>
  <c r="K46" i="154"/>
  <c r="M46" i="154" s="1"/>
  <c r="L50" i="154"/>
  <c r="K47" i="154"/>
  <c r="M47" i="154" s="1"/>
  <c r="B47" i="154" s="1"/>
  <c r="L46" i="154"/>
  <c r="K48" i="154"/>
  <c r="K50" i="154"/>
  <c r="B46" i="154" l="1"/>
  <c r="M50" i="154"/>
  <c r="B50" i="154" s="1"/>
  <c r="M51" i="154"/>
  <c r="B51" i="154" s="1"/>
  <c r="M48" i="154"/>
  <c r="B48" i="154" s="1"/>
  <c r="M49" i="154"/>
  <c r="B49" i="154" s="1"/>
  <c r="M147" i="154" l="1"/>
  <c r="M146" i="154"/>
  <c r="O163" i="154" l="1"/>
  <c r="N13" i="154" s="1"/>
  <c r="H156" i="154"/>
  <c r="H157" i="154"/>
  <c r="O164" i="154"/>
  <c r="O13" i="154" s="1"/>
  <c r="L156" i="154" l="1"/>
  <c r="K156" i="154"/>
  <c r="J156" i="154"/>
  <c r="K157" i="154"/>
  <c r="L157" i="154"/>
  <c r="J157" i="154"/>
</calcChain>
</file>

<file path=xl/sharedStrings.xml><?xml version="1.0" encoding="utf-8"?>
<sst xmlns="http://schemas.openxmlformats.org/spreadsheetml/2006/main" count="399" uniqueCount="133">
  <si>
    <t>kN</t>
  </si>
  <si>
    <t>kNm</t>
  </si>
  <si>
    <t>m</t>
  </si>
  <si>
    <t>X</t>
  </si>
  <si>
    <t>Y</t>
  </si>
  <si>
    <t>szt.</t>
  </si>
  <si>
    <t>N/n</t>
  </si>
  <si>
    <t>[m]</t>
  </si>
  <si>
    <t>[kN]</t>
  </si>
  <si>
    <t xml:space="preserve">Sumy </t>
  </si>
  <si>
    <t>Nr wierzchołka</t>
  </si>
  <si>
    <t>ciężar  charakterystyczny betonu</t>
  </si>
  <si>
    <t xml:space="preserve"> kN</t>
  </si>
  <si>
    <t>ciężar stopy G1</t>
  </si>
  <si>
    <t>ciężar obsypki G2</t>
  </si>
  <si>
    <t>obciążenie użytkowe skupione</t>
  </si>
  <si>
    <t>X * Y</t>
  </si>
  <si>
    <t>Środek ciężkości układu pali/kolumn [m]:</t>
  </si>
  <si>
    <t>Momenty bezwladności układu pali/kolumn [m^4]:</t>
  </si>
  <si>
    <t>Maksymalna siła przypadająca na pal/kolumnę:</t>
  </si>
  <si>
    <t>Minimalna siła przypadająca na pal/kolumnę:</t>
  </si>
  <si>
    <t>nr pala/kolumny</t>
  </si>
  <si>
    <t>1.6. Współrzędne pali/kolumn w układzie centralnym fundamentu:</t>
  </si>
  <si>
    <t xml:space="preserve">sztywność
k </t>
  </si>
  <si>
    <t>[EA/1kN]</t>
  </si>
  <si>
    <t>Rzędne i odcięte głównych osi kolumn/pali</t>
  </si>
  <si>
    <t>współczynnik częściowy dla konstrukcji</t>
  </si>
  <si>
    <t>współczynnik częściowy dla obciążenia posadzki</t>
  </si>
  <si>
    <t>współczynnik częściowy dla obciążenia gruntem</t>
  </si>
  <si>
    <t>Współrzędne i charakterystyki 
w głównych osiach układu pali/kolumn</t>
  </si>
  <si>
    <t>METODA SZTYWNEGO OCZEPU (MSO)</t>
  </si>
  <si>
    <t>B =</t>
  </si>
  <si>
    <t>L =</t>
  </si>
  <si>
    <t>A =</t>
  </si>
  <si>
    <t>D =</t>
  </si>
  <si>
    <t>r =</t>
  </si>
  <si>
    <t>R =</t>
  </si>
  <si>
    <t>Ramię działania sił poziomych</t>
  </si>
  <si>
    <t>Schemat obliczeniowy</t>
  </si>
  <si>
    <t>Dane geometryczne</t>
  </si>
  <si>
    <t>Siły działające na fundament</t>
  </si>
  <si>
    <t>Mimośród siły pionowej wzdłuż osi x</t>
  </si>
  <si>
    <t>Mimośród siły pionowej wzdłuż osi y</t>
  </si>
  <si>
    <t>Wysokość fundamentu</t>
  </si>
  <si>
    <t>h =</t>
  </si>
  <si>
    <t>Łączna grubość gruntu i posadzki nad fundamentem</t>
  </si>
  <si>
    <t>D - h =</t>
  </si>
  <si>
    <t>Siła pionowa</t>
  </si>
  <si>
    <t>Siła pozioma wzdłuż osi x</t>
  </si>
  <si>
    <t>Siła pozioma wzdłuż osi y</t>
  </si>
  <si>
    <t>Moment wokół osi x</t>
  </si>
  <si>
    <t>Moment wokół osi y</t>
  </si>
  <si>
    <t>Obciążenia pochodzące od ciężaru fundamentu, ciężaru gruntu i posadzki oraz obciążenia użytkowego posadzki</t>
  </si>
  <si>
    <t>ciężar charakterystyczny (uśredniony) gruntu i posadzki</t>
  </si>
  <si>
    <t>obciążenie technologiczne z posadzki</t>
  </si>
  <si>
    <t>objętość fundamentu</t>
  </si>
  <si>
    <t>objetość gruntu i posadzki</t>
  </si>
  <si>
    <t xml:space="preserve"> [-]</t>
  </si>
  <si>
    <t>Moment wynikający z działania siły poziomej wokół osi y</t>
  </si>
  <si>
    <t>Wypadkowy układ sił w środku podstawy fundamentu</t>
  </si>
  <si>
    <t>Moment wynikający z mimośrodu siły pionowej wokół osi x</t>
  </si>
  <si>
    <t>Moment wynikający z mimośrodu siły pionowej wokół osi y</t>
  </si>
  <si>
    <t>Moment wokół osi y wynikający z działania siły poziomej wzdłuż osi x</t>
  </si>
  <si>
    <t>Długość fundamentu</t>
  </si>
  <si>
    <t>Szerokość fundamentu</t>
  </si>
  <si>
    <r>
      <t xml:space="preserve">X </t>
    </r>
    <r>
      <rPr>
        <vertAlign val="superscript"/>
        <sz val="10"/>
        <rFont val="Tahoma"/>
        <family val="2"/>
        <charset val="238"/>
      </rPr>
      <t>2</t>
    </r>
  </si>
  <si>
    <r>
      <t xml:space="preserve">Y </t>
    </r>
    <r>
      <rPr>
        <vertAlign val="superscript"/>
        <sz val="10"/>
        <rFont val="Tahoma"/>
        <family val="2"/>
        <charset val="238"/>
      </rPr>
      <t>2</t>
    </r>
  </si>
  <si>
    <r>
      <t>N</t>
    </r>
    <r>
      <rPr>
        <vertAlign val="subscript"/>
        <sz val="10"/>
        <rFont val="Tahoma"/>
        <family val="2"/>
        <charset val="238"/>
      </rPr>
      <t xml:space="preserve">Mx </t>
    </r>
    <r>
      <rPr>
        <sz val="10"/>
        <rFont val="Tahoma"/>
        <family val="2"/>
        <charset val="238"/>
      </rPr>
      <t xml:space="preserve">=            </t>
    </r>
  </si>
  <si>
    <r>
      <t>N</t>
    </r>
    <r>
      <rPr>
        <vertAlign val="subscript"/>
        <sz val="10"/>
        <rFont val="Tahoma"/>
        <family val="2"/>
        <charset val="238"/>
      </rPr>
      <t xml:space="preserve">My </t>
    </r>
    <r>
      <rPr>
        <sz val="10"/>
        <rFont val="Tahoma"/>
        <family val="2"/>
        <charset val="238"/>
      </rPr>
      <t xml:space="preserve">=                       </t>
    </r>
  </si>
  <si>
    <r>
      <t xml:space="preserve">Σ N </t>
    </r>
    <r>
      <rPr>
        <vertAlign val="subscript"/>
        <sz val="10"/>
        <rFont val="Tahoma"/>
        <family val="2"/>
        <charset val="238"/>
      </rPr>
      <t>i</t>
    </r>
  </si>
  <si>
    <r>
      <t>X</t>
    </r>
    <r>
      <rPr>
        <vertAlign val="subscript"/>
        <sz val="10"/>
        <rFont val="Tahoma"/>
        <family val="2"/>
        <charset val="238"/>
      </rPr>
      <t>0</t>
    </r>
  </si>
  <si>
    <r>
      <t>Y</t>
    </r>
    <r>
      <rPr>
        <vertAlign val="subscript"/>
        <sz val="10"/>
        <rFont val="Tahoma"/>
        <family val="2"/>
        <charset val="238"/>
      </rPr>
      <t>0</t>
    </r>
  </si>
  <si>
    <r>
      <t>X</t>
    </r>
    <r>
      <rPr>
        <vertAlign val="subscript"/>
        <sz val="10"/>
        <rFont val="Tahoma"/>
        <family val="2"/>
        <charset val="238"/>
      </rPr>
      <t>0</t>
    </r>
    <r>
      <rPr>
        <sz val="10"/>
        <rFont val="Tahoma"/>
        <family val="2"/>
        <charset val="238"/>
      </rPr>
      <t xml:space="preserve"> </t>
    </r>
    <r>
      <rPr>
        <vertAlign val="superscript"/>
        <sz val="10"/>
        <rFont val="Tahoma"/>
        <family val="2"/>
        <charset val="238"/>
      </rPr>
      <t>2</t>
    </r>
  </si>
  <si>
    <r>
      <t>Y</t>
    </r>
    <r>
      <rPr>
        <vertAlign val="subscript"/>
        <sz val="10"/>
        <rFont val="Tahoma"/>
        <family val="2"/>
        <charset val="238"/>
      </rPr>
      <t>0</t>
    </r>
    <r>
      <rPr>
        <sz val="10"/>
        <rFont val="Tahoma"/>
        <family val="2"/>
        <charset val="238"/>
      </rPr>
      <t xml:space="preserve"> </t>
    </r>
    <r>
      <rPr>
        <vertAlign val="superscript"/>
        <sz val="10"/>
        <rFont val="Tahoma"/>
        <family val="2"/>
        <charset val="238"/>
      </rPr>
      <t>2</t>
    </r>
  </si>
  <si>
    <r>
      <t>X</t>
    </r>
    <r>
      <rPr>
        <vertAlign val="subscript"/>
        <sz val="10"/>
        <rFont val="Tahoma"/>
        <family val="2"/>
        <charset val="238"/>
      </rPr>
      <t>0</t>
    </r>
    <r>
      <rPr>
        <sz val="10"/>
        <rFont val="Tahoma"/>
        <family val="2"/>
        <charset val="238"/>
      </rPr>
      <t xml:space="preserve"> * Y</t>
    </r>
    <r>
      <rPr>
        <vertAlign val="subscript"/>
        <sz val="10"/>
        <rFont val="Tahoma"/>
        <family val="2"/>
        <charset val="238"/>
      </rPr>
      <t>0</t>
    </r>
    <r>
      <rPr>
        <sz val="10"/>
        <rFont val="Tahoma"/>
        <family val="2"/>
        <charset val="238"/>
      </rPr>
      <t xml:space="preserve"> </t>
    </r>
  </si>
  <si>
    <r>
      <t xml:space="preserve">[m </t>
    </r>
    <r>
      <rPr>
        <vertAlign val="superscript"/>
        <sz val="10"/>
        <rFont val="Tahoma"/>
        <family val="2"/>
        <charset val="238"/>
      </rPr>
      <t>2</t>
    </r>
    <r>
      <rPr>
        <sz val="10"/>
        <rFont val="Tahoma"/>
        <family val="2"/>
        <charset val="238"/>
      </rPr>
      <t>]</t>
    </r>
  </si>
  <si>
    <r>
      <t>RV</t>
    </r>
    <r>
      <rPr>
        <vertAlign val="subscript"/>
        <sz val="10"/>
        <rFont val="Tahoma"/>
        <family val="2"/>
        <charset val="238"/>
      </rPr>
      <t>max</t>
    </r>
    <r>
      <rPr>
        <sz val="10"/>
        <rFont val="Tahoma"/>
        <family val="2"/>
        <charset val="238"/>
      </rPr>
      <t xml:space="preserve"> =</t>
    </r>
  </si>
  <si>
    <r>
      <t>RV</t>
    </r>
    <r>
      <rPr>
        <vertAlign val="subscript"/>
        <sz val="10"/>
        <rFont val="Tahoma"/>
        <family val="2"/>
        <charset val="238"/>
      </rPr>
      <t>min</t>
    </r>
    <r>
      <rPr>
        <sz val="10"/>
        <rFont val="Tahoma"/>
        <family val="2"/>
        <charset val="238"/>
      </rPr>
      <t xml:space="preserve"> =</t>
    </r>
  </si>
  <si>
    <r>
      <t>x`</t>
    </r>
    <r>
      <rPr>
        <vertAlign val="subscript"/>
        <sz val="10"/>
        <rFont val="Tahoma"/>
        <family val="2"/>
        <charset val="238"/>
      </rPr>
      <t>0</t>
    </r>
    <r>
      <rPr>
        <sz val="10"/>
        <rFont val="Tahoma"/>
        <family val="2"/>
        <charset val="238"/>
      </rPr>
      <t>=</t>
    </r>
  </si>
  <si>
    <r>
      <t>I</t>
    </r>
    <r>
      <rPr>
        <vertAlign val="subscript"/>
        <sz val="10"/>
        <rFont val="Tahoma"/>
        <family val="2"/>
        <charset val="238"/>
      </rPr>
      <t>x0</t>
    </r>
    <r>
      <rPr>
        <sz val="10"/>
        <rFont val="Tahoma"/>
        <family val="2"/>
        <charset val="238"/>
      </rPr>
      <t>=</t>
    </r>
  </si>
  <si>
    <r>
      <t>y`</t>
    </r>
    <r>
      <rPr>
        <vertAlign val="subscript"/>
        <sz val="10"/>
        <rFont val="Tahoma"/>
        <family val="2"/>
        <charset val="238"/>
      </rPr>
      <t>0</t>
    </r>
    <r>
      <rPr>
        <sz val="10"/>
        <rFont val="Tahoma"/>
        <family val="2"/>
        <charset val="238"/>
      </rPr>
      <t>=</t>
    </r>
  </si>
  <si>
    <r>
      <t>I</t>
    </r>
    <r>
      <rPr>
        <vertAlign val="subscript"/>
        <sz val="10"/>
        <rFont val="Tahoma"/>
        <family val="2"/>
        <charset val="238"/>
      </rPr>
      <t>y0</t>
    </r>
    <r>
      <rPr>
        <sz val="10"/>
        <rFont val="Tahoma"/>
        <family val="2"/>
        <charset val="238"/>
      </rPr>
      <t>=</t>
    </r>
  </si>
  <si>
    <r>
      <t>I</t>
    </r>
    <r>
      <rPr>
        <vertAlign val="subscript"/>
        <sz val="10"/>
        <rFont val="Tahoma"/>
        <family val="2"/>
        <charset val="238"/>
      </rPr>
      <t>x0y0</t>
    </r>
    <r>
      <rPr>
        <sz val="10"/>
        <rFont val="Tahoma"/>
        <family val="2"/>
        <charset val="238"/>
      </rPr>
      <t>=</t>
    </r>
  </si>
  <si>
    <t>Liczba pali/kolumn:  n =</t>
  </si>
  <si>
    <t>Głębokość posadowienia</t>
  </si>
  <si>
    <t>Głębokość działania sił poziomych</t>
  </si>
  <si>
    <r>
      <t>V</t>
    </r>
    <r>
      <rPr>
        <vertAlign val="superscript"/>
        <sz val="10"/>
        <rFont val="Tahoma"/>
        <family val="2"/>
        <charset val="238"/>
      </rPr>
      <t xml:space="preserve"> </t>
    </r>
    <r>
      <rPr>
        <sz val="10"/>
        <rFont val="Tahoma"/>
        <family val="2"/>
        <charset val="238"/>
      </rPr>
      <t>=</t>
    </r>
  </si>
  <si>
    <r>
      <t>H</t>
    </r>
    <r>
      <rPr>
        <vertAlign val="subscript"/>
        <sz val="10"/>
        <rFont val="Tahoma"/>
        <family val="2"/>
        <charset val="238"/>
      </rPr>
      <t>x</t>
    </r>
    <r>
      <rPr>
        <sz val="10"/>
        <rFont val="Tahoma"/>
        <family val="2"/>
        <charset val="238"/>
      </rPr>
      <t xml:space="preserve"> =</t>
    </r>
  </si>
  <si>
    <r>
      <t>H</t>
    </r>
    <r>
      <rPr>
        <vertAlign val="subscript"/>
        <sz val="10"/>
        <rFont val="Tahoma"/>
        <family val="2"/>
        <charset val="238"/>
      </rPr>
      <t xml:space="preserve">y </t>
    </r>
    <r>
      <rPr>
        <sz val="10"/>
        <rFont val="Tahoma"/>
        <family val="2"/>
        <charset val="238"/>
      </rPr>
      <t>=</t>
    </r>
  </si>
  <si>
    <r>
      <t>M</t>
    </r>
    <r>
      <rPr>
        <vertAlign val="subscript"/>
        <sz val="10"/>
        <rFont val="Tahoma"/>
        <family val="2"/>
        <charset val="238"/>
      </rPr>
      <t xml:space="preserve">x </t>
    </r>
    <r>
      <rPr>
        <sz val="10"/>
        <rFont val="Tahoma"/>
        <family val="2"/>
        <charset val="238"/>
      </rPr>
      <t>=</t>
    </r>
  </si>
  <si>
    <r>
      <t>M</t>
    </r>
    <r>
      <rPr>
        <vertAlign val="subscript"/>
        <sz val="10"/>
        <rFont val="Tahoma"/>
        <family val="2"/>
        <charset val="238"/>
      </rPr>
      <t>y</t>
    </r>
    <r>
      <rPr>
        <vertAlign val="superscript"/>
        <sz val="10"/>
        <rFont val="Tahoma"/>
        <family val="2"/>
        <charset val="238"/>
      </rPr>
      <t xml:space="preserve"> </t>
    </r>
    <r>
      <rPr>
        <sz val="10"/>
        <rFont val="Tahoma"/>
        <family val="2"/>
        <charset val="238"/>
      </rPr>
      <t>=</t>
    </r>
  </si>
  <si>
    <r>
      <t>e</t>
    </r>
    <r>
      <rPr>
        <vertAlign val="subscript"/>
        <sz val="10"/>
        <rFont val="Tahoma"/>
        <family val="2"/>
        <charset val="238"/>
      </rPr>
      <t xml:space="preserve">x </t>
    </r>
    <r>
      <rPr>
        <sz val="10"/>
        <rFont val="Tahoma"/>
        <family val="2"/>
        <charset val="238"/>
      </rPr>
      <t>=</t>
    </r>
  </si>
  <si>
    <r>
      <t>e</t>
    </r>
    <r>
      <rPr>
        <vertAlign val="subscript"/>
        <sz val="10"/>
        <rFont val="Tahoma"/>
        <family val="2"/>
        <charset val="238"/>
      </rPr>
      <t xml:space="preserve">y </t>
    </r>
    <r>
      <rPr>
        <sz val="10"/>
        <rFont val="Tahoma"/>
        <family val="2"/>
        <charset val="238"/>
      </rPr>
      <t>=</t>
    </r>
  </si>
  <si>
    <r>
      <t>M</t>
    </r>
    <r>
      <rPr>
        <vertAlign val="subscript"/>
        <sz val="10"/>
        <rFont val="Tahoma"/>
        <family val="2"/>
        <charset val="238"/>
      </rPr>
      <t xml:space="preserve">xey </t>
    </r>
    <r>
      <rPr>
        <sz val="10"/>
        <rFont val="Tahoma"/>
        <family val="2"/>
        <charset val="238"/>
      </rPr>
      <t>=</t>
    </r>
  </si>
  <si>
    <r>
      <t>M</t>
    </r>
    <r>
      <rPr>
        <vertAlign val="subscript"/>
        <sz val="10"/>
        <rFont val="Tahoma"/>
        <family val="2"/>
        <charset val="238"/>
      </rPr>
      <t xml:space="preserve">yex </t>
    </r>
    <r>
      <rPr>
        <sz val="10"/>
        <rFont val="Tahoma"/>
        <family val="2"/>
        <charset val="238"/>
      </rPr>
      <t>=</t>
    </r>
  </si>
  <si>
    <r>
      <t>M</t>
    </r>
    <r>
      <rPr>
        <vertAlign val="subscript"/>
        <sz val="10"/>
        <rFont val="Tahoma"/>
        <family val="2"/>
        <charset val="238"/>
      </rPr>
      <t>yHx</t>
    </r>
    <r>
      <rPr>
        <sz val="10"/>
        <rFont val="Tahoma"/>
        <family val="2"/>
        <charset val="238"/>
      </rPr>
      <t>=</t>
    </r>
  </si>
  <si>
    <r>
      <t xml:space="preserve"> kN/m</t>
    </r>
    <r>
      <rPr>
        <vertAlign val="superscript"/>
        <sz val="10"/>
        <rFont val="Tahoma"/>
        <family val="2"/>
        <charset val="238"/>
      </rPr>
      <t>3</t>
    </r>
    <r>
      <rPr>
        <sz val="10"/>
        <rFont val="Tahoma"/>
        <family val="2"/>
        <charset val="238"/>
      </rPr>
      <t xml:space="preserve">  </t>
    </r>
  </si>
  <si>
    <r>
      <t>M</t>
    </r>
    <r>
      <rPr>
        <vertAlign val="subscript"/>
        <sz val="10"/>
        <rFont val="Tahoma"/>
        <family val="2"/>
        <charset val="238"/>
      </rPr>
      <t>xHy</t>
    </r>
    <r>
      <rPr>
        <sz val="10"/>
        <rFont val="Tahoma"/>
        <family val="2"/>
        <charset val="238"/>
      </rPr>
      <t>=</t>
    </r>
  </si>
  <si>
    <r>
      <t xml:space="preserve"> m</t>
    </r>
    <r>
      <rPr>
        <vertAlign val="superscript"/>
        <sz val="10"/>
        <rFont val="Tahoma"/>
        <family val="2"/>
        <charset val="238"/>
      </rPr>
      <t>3</t>
    </r>
    <r>
      <rPr>
        <sz val="10"/>
        <rFont val="Tahoma"/>
        <family val="2"/>
        <charset val="238"/>
      </rPr>
      <t xml:space="preserve">  </t>
    </r>
  </si>
  <si>
    <r>
      <t>H</t>
    </r>
    <r>
      <rPr>
        <vertAlign val="subscript"/>
        <sz val="10"/>
        <rFont val="Tahoma"/>
        <family val="2"/>
        <charset val="238"/>
      </rPr>
      <t>x</t>
    </r>
    <r>
      <rPr>
        <sz val="10"/>
        <rFont val="Tahoma"/>
        <family val="2"/>
        <charset val="238"/>
      </rPr>
      <t>=</t>
    </r>
  </si>
  <si>
    <r>
      <t>H</t>
    </r>
    <r>
      <rPr>
        <vertAlign val="subscript"/>
        <sz val="10"/>
        <rFont val="Tahoma"/>
        <family val="2"/>
        <charset val="238"/>
      </rPr>
      <t>y</t>
    </r>
    <r>
      <rPr>
        <sz val="10"/>
        <rFont val="Tahoma"/>
        <family val="2"/>
        <charset val="238"/>
      </rPr>
      <t>=</t>
    </r>
  </si>
  <si>
    <r>
      <t>M</t>
    </r>
    <r>
      <rPr>
        <vertAlign val="subscript"/>
        <sz val="10"/>
        <rFont val="Tahoma"/>
        <family val="2"/>
        <charset val="238"/>
      </rPr>
      <t>x</t>
    </r>
    <r>
      <rPr>
        <sz val="10"/>
        <rFont val="Tahoma"/>
        <family val="2"/>
        <charset val="238"/>
      </rPr>
      <t>=</t>
    </r>
  </si>
  <si>
    <r>
      <t>M</t>
    </r>
    <r>
      <rPr>
        <vertAlign val="subscript"/>
        <sz val="10"/>
        <rFont val="Tahoma"/>
        <family val="2"/>
        <charset val="238"/>
      </rPr>
      <t>y</t>
    </r>
    <r>
      <rPr>
        <sz val="10"/>
        <rFont val="Tahoma"/>
        <family val="2"/>
        <charset val="238"/>
      </rPr>
      <t>=</t>
    </r>
  </si>
  <si>
    <r>
      <t>W</t>
    </r>
    <r>
      <rPr>
        <vertAlign val="subscript"/>
        <sz val="10"/>
        <rFont val="Tahoma"/>
        <family val="2"/>
        <charset val="238"/>
      </rPr>
      <t xml:space="preserve">x </t>
    </r>
    <r>
      <rPr>
        <sz val="10"/>
        <rFont val="Tahoma"/>
        <family val="2"/>
        <charset val="238"/>
      </rPr>
      <t>=</t>
    </r>
  </si>
  <si>
    <r>
      <t>m</t>
    </r>
    <r>
      <rPr>
        <vertAlign val="superscript"/>
        <sz val="10"/>
        <rFont val="Tahoma"/>
        <family val="2"/>
        <charset val="238"/>
      </rPr>
      <t>3</t>
    </r>
  </si>
  <si>
    <r>
      <t>W</t>
    </r>
    <r>
      <rPr>
        <vertAlign val="subscript"/>
        <sz val="10"/>
        <rFont val="Tahoma"/>
        <family val="2"/>
        <charset val="238"/>
      </rPr>
      <t xml:space="preserve">y </t>
    </r>
    <r>
      <rPr>
        <sz val="10"/>
        <rFont val="Tahoma"/>
        <family val="2"/>
        <charset val="238"/>
      </rPr>
      <t>=</t>
    </r>
  </si>
  <si>
    <r>
      <t>m</t>
    </r>
    <r>
      <rPr>
        <vertAlign val="superscript"/>
        <sz val="10"/>
        <rFont val="Tahoma"/>
        <family val="2"/>
        <charset val="238"/>
      </rPr>
      <t>2</t>
    </r>
  </si>
  <si>
    <t>EKSTREMALNE SIŁY PRZEKAZYWANE NA PALE/KOLUMNY</t>
  </si>
  <si>
    <t>Obciążenie dodatkowe pochodzące od stopy, gruntu i obciążenia użytkowego:</t>
  </si>
  <si>
    <r>
      <t>RV</t>
    </r>
    <r>
      <rPr>
        <vertAlign val="subscript"/>
        <sz val="12"/>
        <color indexed="60"/>
        <rFont val="Tahoma"/>
        <family val="2"/>
        <charset val="238"/>
      </rPr>
      <t>max</t>
    </r>
    <r>
      <rPr>
        <sz val="12"/>
        <color indexed="60"/>
        <rFont val="Tahoma"/>
        <family val="2"/>
        <charset val="238"/>
      </rPr>
      <t xml:space="preserve"> =</t>
    </r>
  </si>
  <si>
    <r>
      <t>RV</t>
    </r>
    <r>
      <rPr>
        <vertAlign val="subscript"/>
        <sz val="12"/>
        <color indexed="21"/>
        <rFont val="Tahoma"/>
        <family val="2"/>
        <charset val="238"/>
      </rPr>
      <t>min</t>
    </r>
    <r>
      <rPr>
        <sz val="12"/>
        <color indexed="21"/>
        <rFont val="Tahoma"/>
        <family val="2"/>
        <charset val="238"/>
      </rPr>
      <t xml:space="preserve"> =</t>
    </r>
  </si>
  <si>
    <r>
      <t>RH</t>
    </r>
    <r>
      <rPr>
        <vertAlign val="subscript"/>
        <sz val="10"/>
        <rFont val="Tahoma"/>
        <family val="2"/>
        <charset val="238"/>
      </rPr>
      <t>śred.</t>
    </r>
    <r>
      <rPr>
        <sz val="10"/>
        <rFont val="Tahoma"/>
        <family val="2"/>
        <charset val="238"/>
      </rPr>
      <t xml:space="preserve"> =</t>
    </r>
  </si>
  <si>
    <r>
      <t>RH</t>
    </r>
    <r>
      <rPr>
        <vertAlign val="subscript"/>
        <sz val="12"/>
        <color indexed="17"/>
        <rFont val="Tahoma"/>
        <family val="2"/>
        <charset val="238"/>
      </rPr>
      <t>śred</t>
    </r>
    <r>
      <rPr>
        <sz val="12"/>
        <color indexed="17"/>
        <rFont val="Tahoma"/>
        <family val="2"/>
        <charset val="238"/>
      </rPr>
      <t xml:space="preserve"> =</t>
    </r>
  </si>
  <si>
    <t>Węzeł/Przypadek</t>
  </si>
  <si>
    <t>FX (kN)</t>
  </si>
  <si>
    <t>FY (kN)</t>
  </si>
  <si>
    <t>FZ (kN)</t>
  </si>
  <si>
    <t>MX (kNm)</t>
  </si>
  <si>
    <t>MY (kNm)</t>
  </si>
  <si>
    <t>MZ (kNm)</t>
  </si>
  <si>
    <t>9/           250 (K)</t>
  </si>
  <si>
    <t>9/           203 (K)</t>
  </si>
  <si>
    <t>9/           57 (K)</t>
  </si>
  <si>
    <t>9/           9 (K)</t>
  </si>
  <si>
    <t>9/           278 (K)</t>
  </si>
  <si>
    <t>9/           232 (K)</t>
  </si>
  <si>
    <t>9/           249 (K)</t>
  </si>
  <si>
    <t>9/           204 (K)</t>
  </si>
  <si>
    <t>START CTR:+q</t>
  </si>
  <si>
    <r>
      <t>RV</t>
    </r>
    <r>
      <rPr>
        <b/>
        <vertAlign val="subscript"/>
        <sz val="14"/>
        <rFont val="Tahoma"/>
        <family val="2"/>
        <charset val="238"/>
      </rPr>
      <t>max</t>
    </r>
    <r>
      <rPr>
        <b/>
        <sz val="14"/>
        <rFont val="Tahoma"/>
        <family val="2"/>
        <charset val="238"/>
      </rPr>
      <t xml:space="preserve"> =</t>
    </r>
  </si>
  <si>
    <r>
      <t>RV</t>
    </r>
    <r>
      <rPr>
        <b/>
        <vertAlign val="subscript"/>
        <sz val="14"/>
        <rFont val="Tahoma"/>
        <family val="2"/>
        <charset val="238"/>
      </rPr>
      <t>min</t>
    </r>
    <r>
      <rPr>
        <b/>
        <sz val="14"/>
        <rFont val="Tahoma"/>
        <family val="2"/>
        <charset val="238"/>
      </rPr>
      <t xml:space="preserve"> =</t>
    </r>
  </si>
  <si>
    <r>
      <t>RH</t>
    </r>
    <r>
      <rPr>
        <b/>
        <vertAlign val="subscript"/>
        <sz val="14"/>
        <rFont val="Tahoma"/>
        <family val="2"/>
        <charset val="238"/>
      </rPr>
      <t>śred.</t>
    </r>
    <r>
      <rPr>
        <b/>
        <sz val="14"/>
        <rFont val="Tahoma"/>
        <family val="2"/>
        <charset val="238"/>
      </rPr>
      <t xml:space="preserve"> =</t>
    </r>
  </si>
  <si>
    <t>START CTR:+w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</si>
</sst>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"/>
  </numFmts>
  <fonts count="30" x14ac:knownFonts="1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 CE"/>
      <charset val="238"/>
    </font>
    <font>
      <sz val="10"/>
      <name val="Tahoma"/>
      <family val="2"/>
      <charset val="238"/>
    </font>
    <font>
      <b/>
      <sz val="10"/>
      <name val="Tahoma"/>
      <family val="2"/>
      <charset val="238"/>
    </font>
    <font>
      <vertAlign val="superscript"/>
      <sz val="10"/>
      <name val="Tahoma"/>
      <family val="2"/>
      <charset val="238"/>
    </font>
    <font>
      <vertAlign val="subscript"/>
      <sz val="10"/>
      <name val="Tahoma"/>
      <family val="2"/>
      <charset val="238"/>
    </font>
    <font>
      <b/>
      <sz val="11"/>
      <name val="Tahoma"/>
      <family val="2"/>
      <charset val="238"/>
    </font>
    <font>
      <b/>
      <sz val="18"/>
      <name val="Tahoma"/>
      <family val="2"/>
      <charset val="238"/>
    </font>
    <font>
      <vertAlign val="subscript"/>
      <sz val="12"/>
      <color indexed="60"/>
      <name val="Tahoma"/>
      <family val="2"/>
      <charset val="238"/>
    </font>
    <font>
      <sz val="12"/>
      <color indexed="60"/>
      <name val="Tahoma"/>
      <family val="2"/>
      <charset val="238"/>
    </font>
    <font>
      <vertAlign val="subscript"/>
      <sz val="12"/>
      <color indexed="21"/>
      <name val="Tahoma"/>
      <family val="2"/>
      <charset val="238"/>
    </font>
    <font>
      <sz val="12"/>
      <color indexed="21"/>
      <name val="Tahoma"/>
      <family val="2"/>
      <charset val="238"/>
    </font>
    <font>
      <vertAlign val="subscript"/>
      <sz val="12"/>
      <color indexed="17"/>
      <name val="Tahoma"/>
      <family val="2"/>
      <charset val="238"/>
    </font>
    <font>
      <sz val="12"/>
      <color indexed="17"/>
      <name val="Tahoma"/>
      <family val="2"/>
      <charset val="238"/>
    </font>
    <font>
      <sz val="10"/>
      <color theme="0"/>
      <name val="Tahoma"/>
      <family val="2"/>
      <charset val="238"/>
    </font>
    <font>
      <b/>
      <sz val="12"/>
      <color rgb="FFC00000"/>
      <name val="Tahoma"/>
      <family val="2"/>
      <charset val="238"/>
    </font>
    <font>
      <b/>
      <sz val="12"/>
      <color theme="8" tint="-0.499984740745262"/>
      <name val="Tahoma"/>
      <family val="2"/>
      <charset val="238"/>
    </font>
    <font>
      <sz val="10"/>
      <color rgb="FF00B050"/>
      <name val="Tahoma"/>
      <family val="2"/>
      <charset val="238"/>
    </font>
    <font>
      <b/>
      <sz val="12"/>
      <color rgb="FF00B050"/>
      <name val="Tahoma"/>
      <family val="2"/>
      <charset val="238"/>
    </font>
    <font>
      <b/>
      <sz val="9"/>
      <name val="Times New Roman"/>
      <family val="1"/>
      <charset val="238"/>
    </font>
    <font>
      <sz val="9"/>
      <name val="Times New Roman"/>
      <family val="1"/>
      <charset val="238"/>
    </font>
    <font>
      <b/>
      <sz val="12"/>
      <name val="Tahoma"/>
      <family val="2"/>
      <charset val="238"/>
    </font>
    <font>
      <b/>
      <sz val="14"/>
      <name val="Tahoma"/>
      <family val="2"/>
      <charset val="238"/>
    </font>
    <font>
      <b/>
      <vertAlign val="subscript"/>
      <sz val="14"/>
      <name val="Tahoma"/>
      <family val="2"/>
      <charset val="238"/>
    </font>
    <font>
      <b/>
      <sz val="14"/>
      <color rgb="FFC00000"/>
      <name val="Tahoma"/>
      <family val="2"/>
      <charset val="238"/>
    </font>
    <font>
      <b/>
      <sz val="14"/>
      <color theme="8" tint="-0.499984740745262"/>
      <name val="Tahoma"/>
      <family val="2"/>
      <charset val="238"/>
    </font>
    <font>
      <b/>
      <sz val="14"/>
      <color rgb="FF00B050"/>
      <name val="Tahoma"/>
      <family val="2"/>
      <charset val="238"/>
    </font>
    <font>
      <sz val="12"/>
      <name val="Times New Roman"/>
      <family val="1"/>
      <charset val="23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208">
    <xf numFmtId="0" fontId="0" fillId="0" borderId="0" xfId="0"/>
    <xf numFmtId="0" fontId="5" fillId="2" borderId="0" xfId="0" applyFont="1" applyFill="1" applyBorder="1" applyAlignment="1" applyProtection="1">
      <alignment horizontal="center"/>
    </xf>
    <xf numFmtId="0" fontId="5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2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vertical="center" wrapText="1"/>
    </xf>
    <xf numFmtId="4" fontId="4" fillId="2" borderId="1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Border="1" applyAlignment="1" applyProtection="1">
      <alignment vertical="center" wrapText="1"/>
    </xf>
    <xf numFmtId="164" fontId="4" fillId="2" borderId="1" xfId="0" applyNumberFormat="1" applyFont="1" applyFill="1" applyBorder="1" applyAlignment="1" applyProtection="1">
      <alignment horizontal="center" vertical="center" wrapText="1"/>
    </xf>
    <xf numFmtId="164" fontId="4" fillId="2" borderId="2" xfId="0" applyNumberFormat="1" applyFont="1" applyFill="1" applyBorder="1" applyAlignment="1" applyProtection="1">
      <alignment horizontal="center" vertical="center"/>
    </xf>
    <xf numFmtId="4" fontId="4" fillId="2" borderId="1" xfId="0" applyNumberFormat="1" applyFont="1" applyFill="1" applyBorder="1" applyAlignment="1" applyProtection="1">
      <alignment horizontal="right" vertical="center" wrapText="1"/>
    </xf>
    <xf numFmtId="4" fontId="4" fillId="3" borderId="1" xfId="0" applyNumberFormat="1" applyFont="1" applyFill="1" applyBorder="1" applyAlignment="1" applyProtection="1">
      <alignment horizontal="right" vertical="center" wrapText="1"/>
    </xf>
    <xf numFmtId="0" fontId="5" fillId="2" borderId="1" xfId="0" applyFont="1" applyFill="1" applyBorder="1" applyAlignment="1" applyProtection="1">
      <alignment horizontal="center" vertical="center"/>
    </xf>
    <xf numFmtId="4" fontId="5" fillId="2" borderId="1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horizontal="center" vertical="center" wrapText="1"/>
    </xf>
    <xf numFmtId="164" fontId="4" fillId="2" borderId="0" xfId="0" applyNumberFormat="1" applyFont="1" applyFill="1" applyBorder="1" applyAlignment="1" applyProtection="1">
      <alignment vertical="center"/>
    </xf>
    <xf numFmtId="164" fontId="5" fillId="2" borderId="1" xfId="0" applyNumberFormat="1" applyFont="1" applyFill="1" applyBorder="1" applyAlignment="1" applyProtection="1">
      <alignment horizontal="left" vertical="center"/>
    </xf>
    <xf numFmtId="164" fontId="5" fillId="4" borderId="2" xfId="0" applyNumberFormat="1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center" wrapText="1"/>
    </xf>
    <xf numFmtId="0" fontId="5" fillId="2" borderId="1" xfId="0" applyFont="1" applyFill="1" applyBorder="1" applyAlignment="1" applyProtection="1">
      <alignment horizontal="left"/>
    </xf>
    <xf numFmtId="4" fontId="4" fillId="2" borderId="1" xfId="0" applyNumberFormat="1" applyFont="1" applyFill="1" applyBorder="1" applyAlignment="1" applyProtection="1">
      <alignment vertical="center" wrapText="1"/>
    </xf>
    <xf numFmtId="165" fontId="4" fillId="2" borderId="1" xfId="0" applyNumberFormat="1" applyFont="1" applyFill="1" applyBorder="1" applyAlignment="1" applyProtection="1">
      <alignment vertic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0" fontId="4" fillId="2" borderId="0" xfId="0" applyFont="1" applyFill="1" applyAlignment="1" applyProtection="1">
      <alignment vertical="center" wrapText="1"/>
    </xf>
    <xf numFmtId="164" fontId="4" fillId="2" borderId="0" xfId="0" applyNumberFormat="1" applyFont="1" applyFill="1" applyBorder="1" applyAlignment="1" applyProtection="1">
      <alignment horizontal="center" vertical="center"/>
    </xf>
    <xf numFmtId="0" fontId="5" fillId="2" borderId="0" xfId="0" applyFont="1" applyFill="1" applyBorder="1"/>
    <xf numFmtId="4" fontId="4" fillId="2" borderId="0" xfId="0" applyNumberFormat="1" applyFont="1" applyFill="1" applyBorder="1"/>
    <xf numFmtId="0" fontId="4" fillId="2" borderId="0" xfId="0" applyFont="1" applyFill="1" applyBorder="1"/>
    <xf numFmtId="2" fontId="4" fillId="2" borderId="0" xfId="0" applyNumberFormat="1" applyFont="1" applyFill="1" applyBorder="1"/>
    <xf numFmtId="164" fontId="4" fillId="2" borderId="0" xfId="0" applyNumberFormat="1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vertical="center"/>
    </xf>
    <xf numFmtId="164" fontId="5" fillId="5" borderId="2" xfId="0" applyNumberFormat="1" applyFont="1" applyFill="1" applyBorder="1" applyAlignment="1" applyProtection="1">
      <alignment horizontal="center" vertical="center"/>
    </xf>
    <xf numFmtId="4" fontId="4" fillId="6" borderId="1" xfId="0" applyNumberFormat="1" applyFont="1" applyFill="1" applyBorder="1" applyAlignment="1" applyProtection="1">
      <alignment horizontal="center" vertical="center" wrapText="1"/>
    </xf>
    <xf numFmtId="4" fontId="4" fillId="6" borderId="1" xfId="0" applyNumberFormat="1" applyFont="1" applyFill="1" applyBorder="1" applyAlignment="1" applyProtection="1">
      <alignment horizontal="right" vertical="center" wrapText="1"/>
    </xf>
    <xf numFmtId="0" fontId="16" fillId="2" borderId="0" xfId="0" applyFont="1" applyFill="1" applyBorder="1" applyAlignment="1" applyProtection="1">
      <alignment horizontal="center" vertical="center"/>
    </xf>
    <xf numFmtId="165" fontId="16" fillId="2" borderId="0" xfId="0" applyNumberFormat="1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center" vertical="center" wrapText="1"/>
    </xf>
    <xf numFmtId="4" fontId="4" fillId="2" borderId="0" xfId="0" applyNumberFormat="1" applyFont="1" applyFill="1" applyBorder="1" applyAlignment="1" applyProtection="1">
      <alignment horizontal="right" vertical="center" wrapText="1"/>
    </xf>
    <xf numFmtId="4" fontId="5" fillId="2" borderId="0" xfId="0" applyNumberFormat="1" applyFont="1" applyFill="1" applyBorder="1" applyAlignment="1" applyProtection="1">
      <alignment horizontal="center" vertical="center" wrapText="1"/>
    </xf>
    <xf numFmtId="165" fontId="4" fillId="2" borderId="0" xfId="0" applyNumberFormat="1" applyFont="1" applyFill="1" applyBorder="1" applyAlignment="1" applyProtection="1">
      <alignment vertical="center" wrapText="1"/>
    </xf>
    <xf numFmtId="0" fontId="8" fillId="2" borderId="0" xfId="0" applyFont="1" applyFill="1" applyBorder="1" applyAlignment="1" applyProtection="1"/>
    <xf numFmtId="0" fontId="4" fillId="2" borderId="0" xfId="0" applyFont="1" applyFill="1" applyBorder="1" applyAlignment="1" applyProtection="1">
      <alignment horizontal="right"/>
    </xf>
    <xf numFmtId="2" fontId="5" fillId="6" borderId="0" xfId="0" applyNumberFormat="1" applyFont="1" applyFill="1" applyBorder="1" applyAlignment="1" applyProtection="1">
      <alignment horizontal="center"/>
    </xf>
    <xf numFmtId="2" fontId="5" fillId="2" borderId="0" xfId="0" applyNumberFormat="1" applyFont="1" applyFill="1" applyBorder="1" applyAlignment="1" applyProtection="1">
      <alignment horizontal="center"/>
    </xf>
    <xf numFmtId="2" fontId="5" fillId="0" borderId="0" xfId="0" applyNumberFormat="1" applyFont="1" applyFill="1" applyBorder="1" applyAlignment="1" applyProtection="1">
      <alignment horizontal="center"/>
    </xf>
    <xf numFmtId="2" fontId="5" fillId="6" borderId="1" xfId="0" applyNumberFormat="1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/>
    <xf numFmtId="2" fontId="4" fillId="0" borderId="1" xfId="0" applyNumberFormat="1" applyFont="1" applyBorder="1" applyAlignment="1" applyProtection="1">
      <alignment horizontal="center" vertical="center"/>
    </xf>
    <xf numFmtId="164" fontId="5" fillId="2" borderId="0" xfId="0" applyNumberFormat="1" applyFont="1" applyFill="1" applyBorder="1" applyAlignment="1" applyProtection="1">
      <alignment horizontal="center"/>
    </xf>
    <xf numFmtId="2" fontId="5" fillId="0" borderId="1" xfId="0" applyNumberFormat="1" applyFont="1" applyBorder="1" applyAlignment="1" applyProtection="1">
      <alignment horizontal="center" vertical="center"/>
    </xf>
    <xf numFmtId="0" fontId="4" fillId="0" borderId="0" xfId="0" applyFont="1" applyProtection="1"/>
    <xf numFmtId="0" fontId="4" fillId="0" borderId="0" xfId="0" applyFont="1" applyBorder="1" applyProtection="1"/>
    <xf numFmtId="0" fontId="4" fillId="2" borderId="0" xfId="0" applyFont="1" applyFill="1" applyProtection="1"/>
    <xf numFmtId="164" fontId="4" fillId="2" borderId="0" xfId="0" applyNumberFormat="1" applyFont="1" applyFill="1" applyBorder="1" applyAlignment="1" applyProtection="1">
      <alignment vertical="top" wrapText="1"/>
    </xf>
    <xf numFmtId="164" fontId="5" fillId="2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Border="1" applyAlignment="1" applyProtection="1">
      <alignment vertical="center" wrapText="1"/>
    </xf>
    <xf numFmtId="2" fontId="5" fillId="2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 wrapText="1"/>
    </xf>
    <xf numFmtId="0" fontId="4" fillId="0" borderId="0" xfId="0" applyFont="1" applyAlignment="1" applyProtection="1">
      <alignment vertical="center" wrapText="1"/>
    </xf>
    <xf numFmtId="164" fontId="4" fillId="0" borderId="0" xfId="0" applyNumberFormat="1" applyFont="1" applyAlignment="1" applyProtection="1">
      <alignment vertical="center" wrapText="1"/>
    </xf>
    <xf numFmtId="1" fontId="5" fillId="6" borderId="0" xfId="0" applyNumberFormat="1" applyFont="1" applyFill="1" applyBorder="1" applyAlignment="1" applyProtection="1">
      <alignment horizontal="center"/>
    </xf>
    <xf numFmtId="0" fontId="9" fillId="2" borderId="0" xfId="0" applyFont="1" applyFill="1" applyBorder="1" applyAlignment="1" applyProtection="1"/>
    <xf numFmtId="164" fontId="17" fillId="2" borderId="0" xfId="0" applyNumberFormat="1" applyFont="1" applyFill="1" applyBorder="1" applyAlignment="1" applyProtection="1">
      <alignment horizontal="right" vertical="center"/>
    </xf>
    <xf numFmtId="164" fontId="17" fillId="2" borderId="0" xfId="0" applyNumberFormat="1" applyFont="1" applyFill="1" applyBorder="1" applyAlignment="1" applyProtection="1">
      <alignment horizontal="left" vertical="center"/>
    </xf>
    <xf numFmtId="0" fontId="17" fillId="2" borderId="0" xfId="0" applyFont="1" applyFill="1" applyBorder="1" applyProtection="1"/>
    <xf numFmtId="0" fontId="18" fillId="2" borderId="0" xfId="0" applyFont="1" applyFill="1" applyBorder="1" applyAlignment="1" applyProtection="1">
      <alignment horizontal="right"/>
    </xf>
    <xf numFmtId="164" fontId="18" fillId="2" borderId="0" xfId="0" applyNumberFormat="1" applyFont="1" applyFill="1" applyBorder="1" applyAlignment="1" applyProtection="1">
      <alignment horizontal="left" vertical="center"/>
    </xf>
    <xf numFmtId="0" fontId="18" fillId="2" borderId="0" xfId="0" applyFont="1" applyFill="1" applyBorder="1" applyProtection="1"/>
    <xf numFmtId="2" fontId="5" fillId="2" borderId="1" xfId="0" applyNumberFormat="1" applyFont="1" applyFill="1" applyBorder="1" applyAlignment="1" applyProtection="1">
      <alignment horizontal="center" vertical="center"/>
    </xf>
    <xf numFmtId="2" fontId="5" fillId="6" borderId="0" xfId="0" applyNumberFormat="1" applyFont="1" applyFill="1" applyBorder="1" applyAlignment="1" applyProtection="1">
      <alignment horizontal="center"/>
      <protection locked="0"/>
    </xf>
    <xf numFmtId="0" fontId="19" fillId="2" borderId="0" xfId="0" applyFont="1" applyFill="1" applyBorder="1" applyProtection="1"/>
    <xf numFmtId="0" fontId="20" fillId="2" borderId="0" xfId="0" applyFont="1" applyFill="1" applyBorder="1" applyAlignment="1" applyProtection="1">
      <alignment horizontal="right"/>
    </xf>
    <xf numFmtId="164" fontId="20" fillId="2" borderId="0" xfId="0" applyNumberFormat="1" applyFont="1" applyFill="1" applyBorder="1" applyAlignment="1" applyProtection="1">
      <alignment horizontal="left" vertical="center"/>
    </xf>
    <xf numFmtId="0" fontId="20" fillId="2" borderId="0" xfId="0" applyFont="1" applyFill="1" applyBorder="1" applyProtection="1"/>
    <xf numFmtId="164" fontId="5" fillId="7" borderId="2" xfId="0" applyNumberFormat="1" applyFont="1" applyFill="1" applyBorder="1" applyAlignment="1" applyProtection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164" fontId="17" fillId="2" borderId="0" xfId="0" applyNumberFormat="1" applyFont="1" applyFill="1" applyBorder="1" applyAlignment="1" applyProtection="1">
      <alignment horizontal="center" vertical="center"/>
    </xf>
    <xf numFmtId="164" fontId="18" fillId="2" borderId="0" xfId="0" applyNumberFormat="1" applyFont="1" applyFill="1" applyBorder="1" applyAlignment="1" applyProtection="1">
      <alignment horizontal="center" vertical="center"/>
    </xf>
    <xf numFmtId="164" fontId="20" fillId="2" borderId="0" xfId="0" applyNumberFormat="1" applyFont="1" applyFill="1" applyBorder="1" applyAlignment="1" applyProtection="1">
      <alignment horizontal="center" vertical="center"/>
    </xf>
    <xf numFmtId="0" fontId="22" fillId="0" borderId="11" xfId="0" applyFont="1" applyFill="1" applyBorder="1" applyAlignment="1">
      <alignment vertical="center" wrapText="1"/>
    </xf>
    <xf numFmtId="0" fontId="22" fillId="0" borderId="12" xfId="0" applyFont="1" applyFill="1" applyBorder="1" applyAlignment="1">
      <alignment horizontal="right" vertical="center" wrapText="1"/>
    </xf>
    <xf numFmtId="164" fontId="5" fillId="2" borderId="1" xfId="0" applyNumberFormat="1" applyFont="1" applyFill="1" applyBorder="1" applyAlignment="1" applyProtection="1">
      <alignment horizontal="center" vertical="center"/>
    </xf>
    <xf numFmtId="0" fontId="4" fillId="8" borderId="0" xfId="0" applyFont="1" applyFill="1" applyBorder="1" applyProtection="1"/>
    <xf numFmtId="0" fontId="5" fillId="2" borderId="0" xfId="0" applyFont="1" applyFill="1" applyBorder="1" applyAlignment="1" applyProtection="1">
      <alignment horizontal="left"/>
    </xf>
    <xf numFmtId="0" fontId="4" fillId="2" borderId="1" xfId="0" applyFont="1" applyFill="1" applyBorder="1" applyAlignment="1" applyProtection="1">
      <alignment horizontal="center" vertical="center" wrapText="1"/>
    </xf>
    <xf numFmtId="164" fontId="24" fillId="9" borderId="16" xfId="0" applyNumberFormat="1" applyFont="1" applyFill="1" applyBorder="1" applyAlignment="1" applyProtection="1">
      <alignment horizontal="center" vertical="center"/>
    </xf>
    <xf numFmtId="0" fontId="24" fillId="9" borderId="17" xfId="0" applyFont="1" applyFill="1" applyBorder="1" applyAlignment="1" applyProtection="1">
      <alignment horizontal="center" vertical="center"/>
    </xf>
    <xf numFmtId="0" fontId="24" fillId="9" borderId="18" xfId="0" applyFont="1" applyFill="1" applyBorder="1" applyAlignment="1" applyProtection="1">
      <alignment horizontal="center" vertical="center"/>
    </xf>
    <xf numFmtId="164" fontId="26" fillId="2" borderId="15" xfId="0" applyNumberFormat="1" applyFont="1" applyFill="1" applyBorder="1" applyAlignment="1" applyProtection="1">
      <alignment horizontal="center" vertical="center"/>
    </xf>
    <xf numFmtId="164" fontId="27" fillId="2" borderId="19" xfId="0" applyNumberFormat="1" applyFont="1" applyFill="1" applyBorder="1" applyAlignment="1" applyProtection="1">
      <alignment horizontal="center" vertical="center"/>
    </xf>
    <xf numFmtId="164" fontId="28" fillId="2" borderId="12" xfId="0" applyNumberFormat="1" applyFont="1" applyFill="1" applyBorder="1" applyAlignment="1" applyProtection="1">
      <alignment horizontal="center" vertical="center"/>
    </xf>
    <xf numFmtId="0" fontId="23" fillId="2" borderId="0" xfId="0" applyFont="1" applyFill="1" applyBorder="1"/>
    <xf numFmtId="0" fontId="4" fillId="0" borderId="0" xfId="0" applyFont="1"/>
    <xf numFmtId="0" fontId="4" fillId="2" borderId="0" xfId="0" applyFont="1" applyFill="1"/>
    <xf numFmtId="0" fontId="8" fillId="2" borderId="0" xfId="0" applyFont="1" applyFill="1"/>
    <xf numFmtId="2" fontId="5" fillId="6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vertical="center" wrapText="1"/>
    </xf>
    <xf numFmtId="164" fontId="4" fillId="2" borderId="0" xfId="0" applyNumberFormat="1" applyFont="1" applyFill="1" applyAlignment="1">
      <alignment vertical="top" wrapText="1"/>
    </xf>
    <xf numFmtId="0" fontId="22" fillId="0" borderId="12" xfId="0" applyFont="1" applyBorder="1" applyAlignment="1">
      <alignment horizontal="right" vertical="center" wrapText="1"/>
    </xf>
    <xf numFmtId="2" fontId="5" fillId="2" borderId="0" xfId="0" applyNumberFormat="1" applyFont="1" applyFill="1" applyAlignment="1">
      <alignment horizontal="center"/>
    </xf>
    <xf numFmtId="0" fontId="4" fillId="8" borderId="0" xfId="0" applyFont="1" applyFill="1"/>
    <xf numFmtId="164" fontId="4" fillId="0" borderId="0" xfId="0" applyNumberFormat="1" applyFont="1" applyAlignment="1">
      <alignment vertical="center" wrapText="1"/>
    </xf>
    <xf numFmtId="16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22" fillId="0" borderId="11" xfId="0" applyFont="1" applyBorder="1" applyAlignment="1">
      <alignment vertical="center" wrapText="1"/>
    </xf>
    <xf numFmtId="164" fontId="17" fillId="2" borderId="0" xfId="0" applyNumberFormat="1" applyFont="1" applyFill="1" applyAlignment="1">
      <alignment horizontal="center" vertical="center"/>
    </xf>
    <xf numFmtId="164" fontId="18" fillId="2" borderId="0" xfId="0" applyNumberFormat="1" applyFont="1" applyFill="1" applyAlignment="1">
      <alignment horizontal="center" vertical="center"/>
    </xf>
    <xf numFmtId="164" fontId="20" fillId="2" borderId="0" xfId="0" applyNumberFormat="1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right"/>
    </xf>
    <xf numFmtId="1" fontId="5" fillId="6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164" fontId="5" fillId="2" borderId="0" xfId="0" applyNumberFormat="1" applyFont="1" applyFill="1" applyAlignment="1">
      <alignment horizontal="center"/>
    </xf>
    <xf numFmtId="0" fontId="5" fillId="2" borderId="0" xfId="0" applyFont="1" applyFill="1"/>
    <xf numFmtId="0" fontId="5" fillId="2" borderId="0" xfId="0" applyFont="1" applyFill="1" applyAlignment="1">
      <alignment horizontal="left"/>
    </xf>
    <xf numFmtId="0" fontId="4" fillId="2" borderId="0" xfId="0" applyFont="1" applyFill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1" xfId="0" applyFont="1" applyFill="1" applyBorder="1" applyAlignment="1">
      <alignment vertical="center" wrapText="1"/>
    </xf>
    <xf numFmtId="4" fontId="4" fillId="2" borderId="1" xfId="0" applyNumberFormat="1" applyFont="1" applyFill="1" applyBorder="1" applyAlignment="1">
      <alignment horizontal="center" vertical="center" wrapText="1"/>
    </xf>
    <xf numFmtId="4" fontId="4" fillId="0" borderId="1" xfId="0" applyNumberFormat="1" applyFont="1" applyBorder="1" applyAlignment="1">
      <alignment vertical="center" wrapText="1"/>
    </xf>
    <xf numFmtId="164" fontId="4" fillId="2" borderId="1" xfId="0" applyNumberFormat="1" applyFont="1" applyFill="1" applyBorder="1" applyAlignment="1">
      <alignment horizontal="center" vertical="center" wrapText="1"/>
    </xf>
    <xf numFmtId="164" fontId="4" fillId="2" borderId="2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right" vertical="center" wrapText="1"/>
    </xf>
    <xf numFmtId="4" fontId="4" fillId="2" borderId="0" xfId="0" applyNumberFormat="1" applyFont="1" applyFill="1" applyAlignment="1">
      <alignment horizontal="right" vertical="center" wrapText="1"/>
    </xf>
    <xf numFmtId="4" fontId="4" fillId="3" borderId="1" xfId="0" applyNumberFormat="1" applyFont="1" applyFill="1" applyBorder="1" applyAlignment="1">
      <alignment horizontal="right" vertical="center" wrapText="1"/>
    </xf>
    <xf numFmtId="4" fontId="5" fillId="2" borderId="1" xfId="0" applyNumberFormat="1" applyFont="1" applyFill="1" applyBorder="1" applyAlignment="1">
      <alignment horizontal="center" vertical="center" wrapText="1"/>
    </xf>
    <xf numFmtId="164" fontId="4" fillId="2" borderId="0" xfId="0" applyNumberFormat="1" applyFont="1" applyFill="1" applyAlignment="1">
      <alignment horizontal="center" vertical="center" wrapText="1"/>
    </xf>
    <xf numFmtId="164" fontId="4" fillId="2" borderId="0" xfId="0" applyNumberFormat="1" applyFont="1" applyFill="1" applyAlignment="1">
      <alignment vertical="center"/>
    </xf>
    <xf numFmtId="164" fontId="5" fillId="2" borderId="1" xfId="0" applyNumberFormat="1" applyFont="1" applyFill="1" applyBorder="1" applyAlignment="1">
      <alignment horizontal="left" vertical="center"/>
    </xf>
    <xf numFmtId="164" fontId="5" fillId="4" borderId="2" xfId="0" applyNumberFormat="1" applyFont="1" applyFill="1" applyBorder="1" applyAlignment="1">
      <alignment horizontal="center" vertical="center"/>
    </xf>
    <xf numFmtId="4" fontId="5" fillId="2" borderId="0" xfId="0" applyNumberFormat="1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/>
    </xf>
    <xf numFmtId="164" fontId="5" fillId="5" borderId="2" xfId="0" applyNumberFormat="1" applyFont="1" applyFill="1" applyBorder="1" applyAlignment="1">
      <alignment horizontal="center" vertical="center"/>
    </xf>
    <xf numFmtId="164" fontId="5" fillId="7" borderId="2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vertical="center" wrapText="1"/>
    </xf>
    <xf numFmtId="165" fontId="4" fillId="2" borderId="1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165" fontId="4" fillId="2" borderId="0" xfId="0" applyNumberFormat="1" applyFont="1" applyFill="1" applyAlignment="1">
      <alignment vertical="center" wrapText="1"/>
    </xf>
    <xf numFmtId="0" fontId="5" fillId="2" borderId="0" xfId="0" applyFont="1" applyFill="1" applyAlignment="1">
      <alignment horizontal="center"/>
    </xf>
    <xf numFmtId="164" fontId="4" fillId="2" borderId="0" xfId="0" applyNumberFormat="1" applyFont="1" applyFill="1" applyAlignment="1">
      <alignment horizontal="center" vertical="center"/>
    </xf>
    <xf numFmtId="4" fontId="4" fillId="2" borderId="0" xfId="0" applyNumberFormat="1" applyFont="1" applyFill="1"/>
    <xf numFmtId="2" fontId="4" fillId="2" borderId="0" xfId="0" applyNumberFormat="1" applyFont="1" applyFill="1"/>
    <xf numFmtId="0" fontId="9" fillId="2" borderId="0" xfId="0" applyFont="1" applyFill="1"/>
    <xf numFmtId="0" fontId="16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5" fontId="16" fillId="2" borderId="0" xfId="0" applyNumberFormat="1" applyFont="1" applyFill="1" applyAlignment="1">
      <alignment horizontal="center" vertical="center"/>
    </xf>
    <xf numFmtId="164" fontId="17" fillId="2" borderId="0" xfId="0" applyNumberFormat="1" applyFont="1" applyFill="1" applyAlignment="1">
      <alignment horizontal="right" vertical="center"/>
    </xf>
    <xf numFmtId="164" fontId="17" fillId="2" borderId="0" xfId="0" applyNumberFormat="1" applyFont="1" applyFill="1" applyAlignment="1">
      <alignment horizontal="left" vertical="center"/>
    </xf>
    <xf numFmtId="0" fontId="17" fillId="2" borderId="0" xfId="0" applyFont="1" applyFill="1"/>
    <xf numFmtId="0" fontId="18" fillId="2" borderId="0" xfId="0" applyFont="1" applyFill="1" applyAlignment="1">
      <alignment horizontal="right"/>
    </xf>
    <xf numFmtId="164" fontId="18" fillId="2" borderId="0" xfId="0" applyNumberFormat="1" applyFont="1" applyFill="1" applyAlignment="1">
      <alignment horizontal="left" vertical="center"/>
    </xf>
    <xf numFmtId="0" fontId="18" fillId="2" borderId="0" xfId="0" applyFont="1" applyFill="1"/>
    <xf numFmtId="0" fontId="19" fillId="2" borderId="0" xfId="0" applyFont="1" applyFill="1"/>
    <xf numFmtId="0" fontId="20" fillId="2" borderId="0" xfId="0" applyFont="1" applyFill="1" applyAlignment="1">
      <alignment horizontal="right"/>
    </xf>
    <xf numFmtId="164" fontId="20" fillId="2" borderId="0" xfId="0" applyNumberFormat="1" applyFont="1" applyFill="1" applyAlignment="1">
      <alignment horizontal="left" vertical="center"/>
    </xf>
    <xf numFmtId="0" fontId="20" fillId="2" borderId="0" xfId="0" applyFont="1" applyFill="1"/>
    <xf numFmtId="164" fontId="22" fillId="0" borderId="12" xfId="0" applyNumberFormat="1" applyFont="1" applyBorder="1" applyAlignment="1">
      <alignment horizontal="right" vertical="center" wrapText="1"/>
    </xf>
    <xf numFmtId="0" fontId="22" fillId="8" borderId="12" xfId="0" applyFont="1" applyFill="1" applyBorder="1" applyAlignment="1">
      <alignment horizontal="right" vertical="center" wrapText="1"/>
    </xf>
    <xf numFmtId="0" fontId="29" fillId="0" borderId="11" xfId="0" applyFont="1" applyBorder="1" applyAlignment="1">
      <alignment vertical="center" wrapText="1"/>
    </xf>
    <xf numFmtId="164" fontId="29" fillId="0" borderId="12" xfId="0" applyNumberFormat="1" applyFont="1" applyBorder="1" applyAlignment="1">
      <alignment horizontal="right" vertical="center" wrapText="1"/>
    </xf>
    <xf numFmtId="0" fontId="29" fillId="8" borderId="12" xfId="0" applyFont="1" applyFill="1" applyBorder="1" applyAlignment="1">
      <alignment horizontal="right" vertical="center" wrapText="1"/>
    </xf>
    <xf numFmtId="0" fontId="29" fillId="0" borderId="12" xfId="0" applyFont="1" applyBorder="1" applyAlignment="1">
      <alignment horizontal="right" vertical="center" wrapText="1"/>
    </xf>
    <xf numFmtId="0" fontId="9" fillId="2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4" fillId="2" borderId="1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/>
    </xf>
    <xf numFmtId="0" fontId="8" fillId="2" borderId="0" xfId="0" applyFont="1" applyFill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wrapText="1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164" fontId="5" fillId="2" borderId="13" xfId="0" applyNumberFormat="1" applyFont="1" applyFill="1" applyBorder="1" applyAlignment="1">
      <alignment horizontal="center" vertical="center"/>
    </xf>
    <xf numFmtId="164" fontId="5" fillId="2" borderId="14" xfId="0" applyNumberFormat="1" applyFont="1" applyFill="1" applyBorder="1" applyAlignment="1">
      <alignment horizontal="center" vertical="center"/>
    </xf>
    <xf numFmtId="164" fontId="5" fillId="2" borderId="15" xfId="0" applyNumberFormat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2" borderId="0" xfId="0" applyFont="1" applyFill="1" applyBorder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4" fillId="2" borderId="1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>
      <alignment horizontal="center"/>
    </xf>
    <xf numFmtId="0" fontId="4" fillId="2" borderId="6" xfId="0" applyFont="1" applyFill="1" applyBorder="1" applyAlignment="1" applyProtection="1">
      <alignment horizontal="left" wrapText="1"/>
    </xf>
    <xf numFmtId="0" fontId="4" fillId="0" borderId="2" xfId="0" applyFont="1" applyBorder="1" applyAlignment="1" applyProtection="1">
      <alignment horizontal="left"/>
    </xf>
    <xf numFmtId="0" fontId="4" fillId="0" borderId="3" xfId="0" applyFont="1" applyBorder="1" applyAlignment="1" applyProtection="1">
      <alignment horizontal="left"/>
    </xf>
    <xf numFmtId="0" fontId="4" fillId="0" borderId="4" xfId="0" applyFont="1" applyBorder="1" applyAlignment="1" applyProtection="1">
      <alignment horizontal="left"/>
    </xf>
    <xf numFmtId="164" fontId="5" fillId="2" borderId="13" xfId="0" applyNumberFormat="1" applyFont="1" applyFill="1" applyBorder="1" applyAlignment="1" applyProtection="1">
      <alignment horizontal="center" vertical="center"/>
    </xf>
    <xf numFmtId="164" fontId="5" fillId="2" borderId="14" xfId="0" applyNumberFormat="1" applyFont="1" applyFill="1" applyBorder="1" applyAlignment="1" applyProtection="1">
      <alignment horizontal="center" vertical="center"/>
    </xf>
    <xf numFmtId="164" fontId="5" fillId="2" borderId="15" xfId="0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9" xfId="0" applyFont="1" applyFill="1" applyBorder="1" applyAlignment="1" applyProtection="1">
      <alignment horizontal="center" vertical="center"/>
    </xf>
    <xf numFmtId="0" fontId="5" fillId="2" borderId="11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2" borderId="12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left" vertical="center" wrapText="1"/>
    </xf>
    <xf numFmtId="0" fontId="8" fillId="2" borderId="5" xfId="0" applyFont="1" applyFill="1" applyBorder="1" applyAlignment="1" applyProtection="1">
      <alignment horizontal="left" vertical="center" wrapText="1"/>
    </xf>
  </cellXfs>
  <cellStyles count="4">
    <cellStyle name="Normalny" xfId="0" builtinId="0"/>
    <cellStyle name="Normalny 2" xfId="1"/>
    <cellStyle name="Normalny 3" xfId="2"/>
    <cellStyle name="Normalny 4" xf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103329437068828E-2"/>
          <c:y val="0.14603113262010467"/>
          <c:w val="0.80178888132810544"/>
          <c:h val="0.73812596715312861"/>
        </c:manualLayout>
      </c:layout>
      <c:scatterChart>
        <c:scatterStyle val="lineMarker"/>
        <c:varyColors val="0"/>
        <c:ser>
          <c:idx val="0"/>
          <c:order val="0"/>
          <c:tx>
            <c:v>Obrys fundamentu</c:v>
          </c:tx>
          <c:spPr>
            <a:ln w="19050">
              <a:solidFill>
                <a:schemeClr val="tx1"/>
              </a:solidFill>
              <a:bevel/>
            </a:ln>
          </c:spPr>
          <c:marker>
            <c:symbol val="none"/>
          </c:marker>
          <c:xVal>
            <c:numRef>
              <c:f>'MSO-B47'!$D$159:$D$163</c:f>
              <c:numCache>
                <c:formatCode>#\ ##0.0</c:formatCode>
                <c:ptCount val="5"/>
                <c:pt idx="0">
                  <c:v>3.65</c:v>
                </c:pt>
                <c:pt idx="1">
                  <c:v>3.65</c:v>
                </c:pt>
                <c:pt idx="2">
                  <c:v>-3.65</c:v>
                </c:pt>
                <c:pt idx="3">
                  <c:v>-3.65</c:v>
                </c:pt>
                <c:pt idx="4">
                  <c:v>3.65</c:v>
                </c:pt>
              </c:numCache>
            </c:numRef>
          </c:xVal>
          <c:yVal>
            <c:numRef>
              <c:f>'MSO-B47'!$E$159:$E$163</c:f>
              <c:numCache>
                <c:formatCode>#\ ##0.0</c:formatCode>
                <c:ptCount val="5"/>
                <c:pt idx="0">
                  <c:v>2.4</c:v>
                </c:pt>
                <c:pt idx="1">
                  <c:v>-2.4</c:v>
                </c:pt>
                <c:pt idx="2">
                  <c:v>-2.4</c:v>
                </c:pt>
                <c:pt idx="3">
                  <c:v>2.4</c:v>
                </c:pt>
                <c:pt idx="4">
                  <c:v>2.4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34-4508-841A-CDC5C4EAF6D9}"/>
            </c:ext>
          </c:extLst>
        </c:ser>
        <c:ser>
          <c:idx val="4"/>
          <c:order val="1"/>
          <c:tx>
            <c:v>Główne osie pali/kolumn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'MSO-B47'!$N$148:$N$149</c:f>
              <c:numCache>
                <c:formatCode>#,##0.00</c:formatCode>
                <c:ptCount val="2"/>
                <c:pt idx="0">
                  <c:v>3.6082248300317588E-16</c:v>
                </c:pt>
                <c:pt idx="1">
                  <c:v>3.6082248300317588E-16</c:v>
                </c:pt>
              </c:numCache>
            </c:numRef>
          </c:xVal>
          <c:yVal>
            <c:numRef>
              <c:f>'MSO-B47'!$O$148:$O$149</c:f>
              <c:numCache>
                <c:formatCode>#\ ##0.0</c:formatCode>
                <c:ptCount val="2"/>
                <c:pt idx="0">
                  <c:v>2.4</c:v>
                </c:pt>
                <c:pt idx="1">
                  <c:v>-2.4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F34-4508-841A-CDC5C4EAF6D9}"/>
            </c:ext>
          </c:extLst>
        </c:ser>
        <c:ser>
          <c:idx val="5"/>
          <c:order val="2"/>
          <c:tx>
            <c:v>Główne osie pali/kolumn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F34-4508-841A-CDC5C4EAF6D9}"/>
              </c:ext>
            </c:extLst>
          </c:dPt>
          <c:xVal>
            <c:numRef>
              <c:f>'MSO-B47'!$R$148:$R$149</c:f>
              <c:numCache>
                <c:formatCode>#\ ##0.0</c:formatCode>
                <c:ptCount val="2"/>
                <c:pt idx="0">
                  <c:v>3.65</c:v>
                </c:pt>
                <c:pt idx="1">
                  <c:v>-3.65</c:v>
                </c:pt>
              </c:numCache>
            </c:numRef>
          </c:xVal>
          <c:yVal>
            <c:numRef>
              <c:f>'MSO-B47'!$Q$148:$Q$149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F34-4508-841A-CDC5C4EAF6D9}"/>
            </c:ext>
          </c:extLst>
        </c:ser>
        <c:ser>
          <c:idx val="1"/>
          <c:order val="3"/>
          <c:tx>
            <c:v>Kolumny/Pale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22225">
                <a:solidFill>
                  <a:schemeClr val="tx1"/>
                </a:solidFill>
              </a:ln>
            </c:spPr>
          </c:marker>
          <c:xVal>
            <c:numRef>
              <c:f>'MSO-B47'!$D$46:$D$145</c:f>
              <c:numCache>
                <c:formatCode>#,##0.00</c:formatCode>
                <c:ptCount val="24"/>
                <c:pt idx="0">
                  <c:v>-3.15</c:v>
                </c:pt>
                <c:pt idx="1">
                  <c:v>-3.15</c:v>
                </c:pt>
                <c:pt idx="2">
                  <c:v>-3.15</c:v>
                </c:pt>
                <c:pt idx="3">
                  <c:v>-3.15</c:v>
                </c:pt>
                <c:pt idx="4">
                  <c:v>-1.9</c:v>
                </c:pt>
                <c:pt idx="5">
                  <c:v>-1.9</c:v>
                </c:pt>
                <c:pt idx="6">
                  <c:v>-1.9</c:v>
                </c:pt>
                <c:pt idx="7">
                  <c:v>-1.9</c:v>
                </c:pt>
                <c:pt idx="8">
                  <c:v>-0.65</c:v>
                </c:pt>
                <c:pt idx="9">
                  <c:v>-0.65</c:v>
                </c:pt>
                <c:pt idx="10">
                  <c:v>-0.65</c:v>
                </c:pt>
                <c:pt idx="11">
                  <c:v>-0.65</c:v>
                </c:pt>
                <c:pt idx="12">
                  <c:v>3.15</c:v>
                </c:pt>
                <c:pt idx="13">
                  <c:v>3.15</c:v>
                </c:pt>
                <c:pt idx="14">
                  <c:v>3.15</c:v>
                </c:pt>
                <c:pt idx="15">
                  <c:v>3.15</c:v>
                </c:pt>
                <c:pt idx="16">
                  <c:v>1.9</c:v>
                </c:pt>
                <c:pt idx="17">
                  <c:v>1.9</c:v>
                </c:pt>
                <c:pt idx="18">
                  <c:v>1.9</c:v>
                </c:pt>
                <c:pt idx="19">
                  <c:v>1.9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</c:numCache>
            </c:numRef>
          </c:xVal>
          <c:yVal>
            <c:numRef>
              <c:f>'MSO-B47'!$E$46:$E$145</c:f>
              <c:numCache>
                <c:formatCode>#,##0.00</c:formatCode>
                <c:ptCount val="24"/>
                <c:pt idx="0">
                  <c:v>1.9</c:v>
                </c:pt>
                <c:pt idx="1">
                  <c:v>0.65</c:v>
                </c:pt>
                <c:pt idx="2">
                  <c:v>-0.65</c:v>
                </c:pt>
                <c:pt idx="3">
                  <c:v>-1.9</c:v>
                </c:pt>
                <c:pt idx="4">
                  <c:v>1.9</c:v>
                </c:pt>
                <c:pt idx="5">
                  <c:v>0.65</c:v>
                </c:pt>
                <c:pt idx="6">
                  <c:v>-0.65</c:v>
                </c:pt>
                <c:pt idx="7">
                  <c:v>-1.9</c:v>
                </c:pt>
                <c:pt idx="8">
                  <c:v>1.9</c:v>
                </c:pt>
                <c:pt idx="9">
                  <c:v>-1.9</c:v>
                </c:pt>
                <c:pt idx="10">
                  <c:v>0.65</c:v>
                </c:pt>
                <c:pt idx="11">
                  <c:v>-0.65</c:v>
                </c:pt>
                <c:pt idx="12">
                  <c:v>1.9</c:v>
                </c:pt>
                <c:pt idx="13">
                  <c:v>0.65</c:v>
                </c:pt>
                <c:pt idx="14">
                  <c:v>-0.65</c:v>
                </c:pt>
                <c:pt idx="15">
                  <c:v>-1.9</c:v>
                </c:pt>
                <c:pt idx="16">
                  <c:v>1.9</c:v>
                </c:pt>
                <c:pt idx="17">
                  <c:v>0.65</c:v>
                </c:pt>
                <c:pt idx="18">
                  <c:v>-0.65</c:v>
                </c:pt>
                <c:pt idx="19">
                  <c:v>-1.9</c:v>
                </c:pt>
                <c:pt idx="20">
                  <c:v>1.9</c:v>
                </c:pt>
                <c:pt idx="21">
                  <c:v>-1.9</c:v>
                </c:pt>
                <c:pt idx="22">
                  <c:v>0.65</c:v>
                </c:pt>
                <c:pt idx="23">
                  <c:v>-0.65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F34-4508-841A-CDC5C4EAF6D9}"/>
            </c:ext>
          </c:extLst>
        </c:ser>
        <c:ser>
          <c:idx val="2"/>
          <c:order val="4"/>
          <c:tx>
            <c:v>Maksymalnie obciążony pal/kolumna</c:v>
          </c:tx>
          <c:spPr>
            <a:ln>
              <a:noFill/>
            </a:ln>
          </c:spPr>
          <c:marker>
            <c:symbol val="circle"/>
            <c:size val="20"/>
            <c:spPr>
              <a:solidFill>
                <a:srgbClr val="FF0000">
                  <a:alpha val="47000"/>
                </a:srgbClr>
              </a:solidFill>
              <a:ln>
                <a:noFill/>
              </a:ln>
            </c:spPr>
          </c:marker>
          <c:xVal>
            <c:numRef>
              <c:f>'MSO-B47'!$J$156</c:f>
              <c:numCache>
                <c:formatCode>General</c:formatCode>
                <c:ptCount val="1"/>
                <c:pt idx="0">
                  <c:v>-3.15</c:v>
                </c:pt>
              </c:numCache>
            </c:numRef>
          </c:xVal>
          <c:yVal>
            <c:numRef>
              <c:f>'MSO-B47'!$K$156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F34-4508-841A-CDC5C4EAF6D9}"/>
            </c:ext>
          </c:extLst>
        </c:ser>
        <c:ser>
          <c:idx val="3"/>
          <c:order val="5"/>
          <c:tx>
            <c:v>Minimalnie obciążony pal/kolumna</c:v>
          </c:tx>
          <c:spPr>
            <a:ln>
              <a:noFill/>
            </a:ln>
          </c:spPr>
          <c:marker>
            <c:symbol val="circle"/>
            <c:size val="20"/>
            <c:spPr>
              <a:solidFill>
                <a:srgbClr val="00B0F0">
                  <a:alpha val="50000"/>
                </a:srgbClr>
              </a:solidFill>
              <a:ln>
                <a:noFill/>
              </a:ln>
            </c:spPr>
          </c:marker>
          <c:xVal>
            <c:numRef>
              <c:f>'MSO-B47'!$J$157</c:f>
              <c:numCache>
                <c:formatCode>General</c:formatCode>
                <c:ptCount val="1"/>
                <c:pt idx="0">
                  <c:v>-3.15</c:v>
                </c:pt>
              </c:numCache>
            </c:numRef>
          </c:xVal>
          <c:yVal>
            <c:numRef>
              <c:f>'MSO-B47'!$K$157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F34-4508-841A-CDC5C4EAF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31512"/>
        <c:axId val="439728768"/>
      </c:scatterChart>
      <c:valAx>
        <c:axId val="439731512"/>
        <c:scaling>
          <c:orientation val="minMax"/>
        </c:scaling>
        <c:delete val="0"/>
        <c:axPos val="b"/>
        <c:numFmt formatCode="#\ ##0.0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439728768"/>
        <c:crosses val="autoZero"/>
        <c:crossBetween val="midCat"/>
      </c:valAx>
      <c:valAx>
        <c:axId val="439728768"/>
        <c:scaling>
          <c:orientation val="minMax"/>
        </c:scaling>
        <c:delete val="0"/>
        <c:axPos val="l"/>
        <c:numFmt formatCode="#\ ##0.0" sourceLinked="1"/>
        <c:majorTickMark val="none"/>
        <c:minorTickMark val="none"/>
        <c:tickLblPos val="low"/>
        <c:spPr>
          <a:ln/>
        </c:spPr>
        <c:crossAx val="4397315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 w="12700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l-PL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103329437068828E-2"/>
          <c:y val="0.14603113262010467"/>
          <c:w val="0.80178888132810544"/>
          <c:h val="0.73812596715312861"/>
        </c:manualLayout>
      </c:layout>
      <c:scatterChart>
        <c:scatterStyle val="lineMarker"/>
        <c:varyColors val="0"/>
        <c:ser>
          <c:idx val="0"/>
          <c:order val="0"/>
          <c:tx>
            <c:v>Obrys fundamentu</c:v>
          </c:tx>
          <c:spPr>
            <a:ln w="19050">
              <a:solidFill>
                <a:schemeClr val="tx1"/>
              </a:solidFill>
              <a:bevel/>
            </a:ln>
          </c:spPr>
          <c:marker>
            <c:symbol val="none"/>
          </c:marker>
          <c:xVal>
            <c:numRef>
              <c:f>'W9 (6 szt.)'!$D$159:$D$163</c:f>
              <c:numCache>
                <c:formatCode>#\ ##0.0</c:formatCode>
                <c:ptCount val="5"/>
                <c:pt idx="0">
                  <c:v>2.2999999999999998</c:v>
                </c:pt>
                <c:pt idx="1">
                  <c:v>2.2999999999999998</c:v>
                </c:pt>
                <c:pt idx="2">
                  <c:v>-2.2999999999999998</c:v>
                </c:pt>
                <c:pt idx="3">
                  <c:v>-2.2999999999999998</c:v>
                </c:pt>
                <c:pt idx="4">
                  <c:v>2.2999999999999998</c:v>
                </c:pt>
              </c:numCache>
            </c:numRef>
          </c:xVal>
          <c:yVal>
            <c:numRef>
              <c:f>'W9 (6 szt.)'!$E$159:$E$163</c:f>
              <c:numCache>
                <c:formatCode>#\ ##0.0</c:formatCode>
                <c:ptCount val="5"/>
                <c:pt idx="0">
                  <c:v>1.4</c:v>
                </c:pt>
                <c:pt idx="1">
                  <c:v>-1.4</c:v>
                </c:pt>
                <c:pt idx="2">
                  <c:v>-1.4</c:v>
                </c:pt>
                <c:pt idx="3">
                  <c:v>1.4</c:v>
                </c:pt>
                <c:pt idx="4">
                  <c:v>1.4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281-4BA1-A077-B3A1B02BD336}"/>
            </c:ext>
          </c:extLst>
        </c:ser>
        <c:ser>
          <c:idx val="4"/>
          <c:order val="1"/>
          <c:tx>
            <c:v>Główne osie pali/kolumn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'W9 (6 szt.)'!$N$148:$N$149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'W9 (6 szt.)'!$O$148:$O$149</c:f>
              <c:numCache>
                <c:formatCode>#\ ##0.0</c:formatCode>
                <c:ptCount val="2"/>
                <c:pt idx="0">
                  <c:v>1.4</c:v>
                </c:pt>
                <c:pt idx="1">
                  <c:v>-1.4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281-4BA1-A077-B3A1B02BD336}"/>
            </c:ext>
          </c:extLst>
        </c:ser>
        <c:ser>
          <c:idx val="5"/>
          <c:order val="2"/>
          <c:tx>
            <c:v>Główne osie pali/kolumn</c:v>
          </c:tx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281-4BA1-A077-B3A1B02BD336}"/>
              </c:ext>
            </c:extLst>
          </c:dPt>
          <c:xVal>
            <c:numRef>
              <c:f>'W9 (6 szt.)'!$R$148:$R$149</c:f>
              <c:numCache>
                <c:formatCode>#\ ##0.0</c:formatCode>
                <c:ptCount val="2"/>
                <c:pt idx="0">
                  <c:v>2.2999999999999998</c:v>
                </c:pt>
                <c:pt idx="1">
                  <c:v>-2.2999999999999998</c:v>
                </c:pt>
              </c:numCache>
            </c:numRef>
          </c:xVal>
          <c:yVal>
            <c:numRef>
              <c:f>'W9 (6 szt.)'!$Q$148:$Q$149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281-4BA1-A077-B3A1B02BD336}"/>
            </c:ext>
          </c:extLst>
        </c:ser>
        <c:ser>
          <c:idx val="1"/>
          <c:order val="3"/>
          <c:tx>
            <c:v>Kolumny/Pale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22225">
                <a:solidFill>
                  <a:schemeClr val="tx1"/>
                </a:solidFill>
              </a:ln>
            </c:spPr>
          </c:marker>
          <c:xVal>
            <c:numRef>
              <c:f>'W9 (6 szt.)'!$D$46:$D$145</c:f>
              <c:numCache>
                <c:formatCode>#,##0.00</c:formatCode>
                <c:ptCount val="15"/>
                <c:pt idx="0">
                  <c:v>-1.8</c:v>
                </c:pt>
                <c:pt idx="1">
                  <c:v>-1.8</c:v>
                </c:pt>
                <c:pt idx="2">
                  <c:v>0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</c:numCache>
            </c:numRef>
          </c:xVal>
          <c:yVal>
            <c:numRef>
              <c:f>'W9 (6 szt.)'!$E$46:$E$145</c:f>
              <c:numCache>
                <c:formatCode>#,##0.00</c:formatCode>
                <c:ptCount val="15"/>
                <c:pt idx="0">
                  <c:v>0.9</c:v>
                </c:pt>
                <c:pt idx="1">
                  <c:v>-0.9</c:v>
                </c:pt>
                <c:pt idx="2">
                  <c:v>0.9</c:v>
                </c:pt>
                <c:pt idx="3">
                  <c:v>-0.9</c:v>
                </c:pt>
                <c:pt idx="4">
                  <c:v>0.9</c:v>
                </c:pt>
                <c:pt idx="5">
                  <c:v>-0.9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3281-4BA1-A077-B3A1B02BD336}"/>
            </c:ext>
          </c:extLst>
        </c:ser>
        <c:ser>
          <c:idx val="2"/>
          <c:order val="4"/>
          <c:tx>
            <c:v>Maksymalnie obciążony pal/kolumna</c:v>
          </c:tx>
          <c:spPr>
            <a:ln>
              <a:noFill/>
            </a:ln>
          </c:spPr>
          <c:marker>
            <c:symbol val="circle"/>
            <c:size val="20"/>
            <c:spPr>
              <a:solidFill>
                <a:srgbClr val="FF0000">
                  <a:alpha val="47000"/>
                </a:srgbClr>
              </a:solidFill>
              <a:ln>
                <a:noFill/>
              </a:ln>
            </c:spPr>
          </c:marker>
          <c:xVal>
            <c:numRef>
              <c:f>'W9 (6 szt.)'!$J$156</c:f>
              <c:numCache>
                <c:formatCode>General</c:formatCode>
                <c:ptCount val="1"/>
                <c:pt idx="0">
                  <c:v>-1.8</c:v>
                </c:pt>
              </c:numCache>
            </c:numRef>
          </c:xVal>
          <c:yVal>
            <c:numRef>
              <c:f>'W9 (6 szt.)'!$K$156</c:f>
              <c:numCache>
                <c:formatCode>General</c:formatCode>
                <c:ptCount val="1"/>
                <c:pt idx="0">
                  <c:v>-0.9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3281-4BA1-A077-B3A1B02BD336}"/>
            </c:ext>
          </c:extLst>
        </c:ser>
        <c:ser>
          <c:idx val="3"/>
          <c:order val="5"/>
          <c:tx>
            <c:v>Minimalnie obciążony pal/kolumna</c:v>
          </c:tx>
          <c:spPr>
            <a:ln>
              <a:noFill/>
            </a:ln>
          </c:spPr>
          <c:marker>
            <c:symbol val="circle"/>
            <c:size val="20"/>
            <c:spPr>
              <a:solidFill>
                <a:srgbClr val="00B0F0">
                  <a:alpha val="50000"/>
                </a:srgbClr>
              </a:solidFill>
              <a:ln>
                <a:noFill/>
              </a:ln>
            </c:spPr>
          </c:marker>
          <c:xVal>
            <c:numRef>
              <c:f>'W9 (6 szt.)'!$J$157</c:f>
              <c:numCache>
                <c:formatCode>General</c:formatCode>
                <c:ptCount val="1"/>
                <c:pt idx="0">
                  <c:v>1.8</c:v>
                </c:pt>
              </c:numCache>
            </c:numRef>
          </c:xVal>
          <c:yVal>
            <c:numRef>
              <c:f>'W9 (6 szt.)'!$K$157</c:f>
              <c:numCache>
                <c:formatCode>General</c:formatCode>
                <c:ptCount val="1"/>
                <c:pt idx="0">
                  <c:v>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3281-4BA1-A077-B3A1B02B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86064"/>
        <c:axId val="439727592"/>
      </c:scatterChart>
      <c:valAx>
        <c:axId val="439786064"/>
        <c:scaling>
          <c:orientation val="minMax"/>
        </c:scaling>
        <c:delete val="0"/>
        <c:axPos val="b"/>
        <c:numFmt formatCode="#\ ##0.0" sourceLinked="1"/>
        <c:majorTickMark val="none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l-PL"/>
          </a:p>
        </c:txPr>
        <c:crossAx val="439727592"/>
        <c:crosses val="autoZero"/>
        <c:crossBetween val="midCat"/>
      </c:valAx>
      <c:valAx>
        <c:axId val="439727592"/>
        <c:scaling>
          <c:orientation val="minMax"/>
        </c:scaling>
        <c:delete val="0"/>
        <c:axPos val="l"/>
        <c:numFmt formatCode="#\ ##0.0" sourceLinked="1"/>
        <c:majorTickMark val="none"/>
        <c:minorTickMark val="none"/>
        <c:tickLblPos val="low"/>
        <c:spPr>
          <a:ln/>
        </c:spPr>
        <c:crossAx val="4397860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 w="12700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pl-PL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447675</xdr:colOff>
      <xdr:row>2</xdr:row>
      <xdr:rowOff>190500</xdr:rowOff>
    </xdr:from>
    <xdr:to>
      <xdr:col>16</xdr:col>
      <xdr:colOff>314325</xdr:colOff>
      <xdr:row>7</xdr:row>
      <xdr:rowOff>142875</xdr:rowOff>
    </xdr:to>
    <xdr:pic>
      <xdr:nvPicPr>
        <xdr:cNvPr id="2" name="Obraz 1">
          <a:extLst>
            <a:ext uri="{FF2B5EF4-FFF2-40B4-BE49-F238E27FC236}">
              <a16:creationId xmlns="" xmlns:a16="http://schemas.microsoft.com/office/drawing/2014/main" id="{A00051DC-7D7E-4FD6-9A4E-610D7BD1B5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542925"/>
          <a:ext cx="2619375" cy="1104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457200</xdr:colOff>
      <xdr:row>154</xdr:row>
      <xdr:rowOff>142875</xdr:rowOff>
    </xdr:from>
    <xdr:to>
      <xdr:col>12</xdr:col>
      <xdr:colOff>409575</xdr:colOff>
      <xdr:row>185</xdr:row>
      <xdr:rowOff>133350</xdr:rowOff>
    </xdr:to>
    <xdr:graphicFrame macro="">
      <xdr:nvGraphicFramePr>
        <xdr:cNvPr id="3" name="Wykres 2">
          <a:extLst>
            <a:ext uri="{FF2B5EF4-FFF2-40B4-BE49-F238E27FC236}">
              <a16:creationId xmlns="" xmlns:a16="http://schemas.microsoft.com/office/drawing/2014/main" id="{9E9CB1E8-BD5E-4568-BF2A-9FA658C6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142875</xdr:colOff>
      <xdr:row>4</xdr:row>
      <xdr:rowOff>66675</xdr:rowOff>
    </xdr:from>
    <xdr:to>
      <xdr:col>8</xdr:col>
      <xdr:colOff>525771</xdr:colOff>
      <xdr:row>23</xdr:row>
      <xdr:rowOff>260158</xdr:rowOff>
    </xdr:to>
    <xdr:pic>
      <xdr:nvPicPr>
        <xdr:cNvPr id="6" name="Obraz 5">
          <a:extLst>
            <a:ext uri="{FF2B5EF4-FFF2-40B4-BE49-F238E27FC236}">
              <a16:creationId xmlns="" xmlns:a16="http://schemas.microsoft.com/office/drawing/2014/main" id="{470D3B01-FFE3-485F-9DE4-011989C59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875" y="1000125"/>
          <a:ext cx="4850121" cy="39558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447675</xdr:colOff>
      <xdr:row>2</xdr:row>
      <xdr:rowOff>190500</xdr:rowOff>
    </xdr:from>
    <xdr:to>
      <xdr:col>16</xdr:col>
      <xdr:colOff>381000</xdr:colOff>
      <xdr:row>7</xdr:row>
      <xdr:rowOff>142875</xdr:rowOff>
    </xdr:to>
    <xdr:pic>
      <xdr:nvPicPr>
        <xdr:cNvPr id="2" name="Obraz 1">
          <a:extLst>
            <a:ext uri="{FF2B5EF4-FFF2-40B4-BE49-F238E27FC236}">
              <a16:creationId xmlns="" xmlns:a16="http://schemas.microsoft.com/office/drawing/2014/main" id="{503185BF-44D3-4F08-891F-3E1A853256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7850" y="542925"/>
          <a:ext cx="2619375" cy="1104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457200</xdr:colOff>
      <xdr:row>154</xdr:row>
      <xdr:rowOff>142875</xdr:rowOff>
    </xdr:from>
    <xdr:to>
      <xdr:col>12</xdr:col>
      <xdr:colOff>409575</xdr:colOff>
      <xdr:row>185</xdr:row>
      <xdr:rowOff>133350</xdr:rowOff>
    </xdr:to>
    <xdr:graphicFrame macro="">
      <xdr:nvGraphicFramePr>
        <xdr:cNvPr id="3" name="Wykres 2">
          <a:extLst>
            <a:ext uri="{FF2B5EF4-FFF2-40B4-BE49-F238E27FC236}">
              <a16:creationId xmlns="" xmlns:a16="http://schemas.microsoft.com/office/drawing/2014/main" id="{371DB41D-0521-4F75-BC44-46139AFFB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85725</xdr:colOff>
      <xdr:row>4</xdr:row>
      <xdr:rowOff>57150</xdr:rowOff>
    </xdr:from>
    <xdr:to>
      <xdr:col>8</xdr:col>
      <xdr:colOff>428625</xdr:colOff>
      <xdr:row>23</xdr:row>
      <xdr:rowOff>257175</xdr:rowOff>
    </xdr:to>
    <xdr:pic>
      <xdr:nvPicPr>
        <xdr:cNvPr id="4" name="Obraz 7">
          <a:extLst>
            <a:ext uri="{FF2B5EF4-FFF2-40B4-BE49-F238E27FC236}">
              <a16:creationId xmlns="" xmlns:a16="http://schemas.microsoft.com/office/drawing/2014/main" id="{115D5372-DEB5-4EB3-8657-8C29B8C2AC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990600"/>
          <a:ext cx="4629150" cy="396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E200"/>
  <sheetViews>
    <sheetView tabSelected="1" topLeftCell="L1" zoomScale="85" zoomScaleNormal="85" zoomScaleSheetLayoutView="115" workbookViewId="0">
      <selection activeCell="AA24" sqref="AA24"/>
    </sheetView>
  </sheetViews>
  <sheetFormatPr defaultRowHeight="12.75" x14ac:dyDescent="0.2"/>
  <cols>
    <col min="1" max="1" width="2.7109375" style="97" customWidth="1"/>
    <col min="2" max="2" width="2.140625" style="97" customWidth="1"/>
    <col min="3" max="3" width="14.140625" style="97" customWidth="1"/>
    <col min="4" max="4" width="9.5703125" style="97" customWidth="1"/>
    <col min="5" max="6" width="10.5703125" style="97" customWidth="1"/>
    <col min="7" max="7" width="8.140625" style="97" customWidth="1"/>
    <col min="8" max="8" width="9.140625" style="97" customWidth="1"/>
    <col min="9" max="9" width="14.85546875" style="97" customWidth="1"/>
    <col min="10" max="10" width="34" style="97" customWidth="1"/>
    <col min="11" max="11" width="8.7109375" style="97" customWidth="1"/>
    <col min="12" max="12" width="10.7109375" style="97" customWidth="1"/>
    <col min="13" max="13" width="10.28515625" style="97" bestFit="1" customWidth="1"/>
    <col min="14" max="14" width="13.7109375" style="97" bestFit="1" customWidth="1"/>
    <col min="15" max="15" width="9.140625" style="97" bestFit="1" customWidth="1"/>
    <col min="16" max="16" width="8.140625" style="97" customWidth="1"/>
    <col min="17" max="17" width="9.140625" style="97" customWidth="1"/>
    <col min="18" max="18" width="7.140625" style="97" customWidth="1"/>
    <col min="19" max="19" width="2.28515625" style="97" customWidth="1"/>
    <col min="20" max="20" width="1.7109375" style="98" customWidth="1"/>
    <col min="21" max="21" width="14.140625" style="97" customWidth="1"/>
    <col min="22" max="22" width="14.140625" style="97" bestFit="1" customWidth="1"/>
    <col min="23" max="28" width="9.140625" style="97"/>
    <col min="29" max="29" width="13.5703125" style="97" bestFit="1" customWidth="1"/>
    <col min="30" max="16384" width="9.140625" style="97"/>
  </cols>
  <sheetData>
    <row r="2" spans="2:31" ht="15" customHeight="1" x14ac:dyDescent="0.2"/>
    <row r="3" spans="2:31" ht="30.75" customHeight="1" thickBot="1" x14ac:dyDescent="0.35">
      <c r="B3" s="170" t="s">
        <v>30</v>
      </c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</row>
    <row r="4" spans="2:31" ht="15" customHeight="1" x14ac:dyDescent="0.2">
      <c r="C4" s="99" t="s">
        <v>38</v>
      </c>
      <c r="D4" s="99"/>
      <c r="E4" s="99"/>
      <c r="F4" s="99"/>
      <c r="G4" s="99"/>
      <c r="H4" s="99"/>
      <c r="I4" s="99"/>
      <c r="J4" s="99" t="s">
        <v>39</v>
      </c>
      <c r="K4" s="99"/>
      <c r="L4" s="99"/>
      <c r="M4" s="99"/>
      <c r="N4" s="99"/>
      <c r="O4" s="99"/>
      <c r="P4" s="99"/>
      <c r="Q4" s="99"/>
      <c r="R4" s="99"/>
      <c r="S4" s="99"/>
      <c r="W4" s="75"/>
      <c r="X4" s="76"/>
      <c r="Y4" s="76"/>
      <c r="Z4" s="76"/>
      <c r="AA4" s="76"/>
    </row>
    <row r="5" spans="2:31" ht="15" customHeight="1" x14ac:dyDescent="0.2">
      <c r="B5" s="98"/>
      <c r="C5" s="98"/>
      <c r="D5" s="98"/>
      <c r="E5" s="98"/>
      <c r="F5" s="98"/>
      <c r="G5" s="98"/>
      <c r="H5" s="98"/>
      <c r="I5" s="98"/>
      <c r="J5" s="98" t="s">
        <v>63</v>
      </c>
      <c r="K5" s="98" t="s">
        <v>32</v>
      </c>
      <c r="L5" s="42">
        <v>7.3</v>
      </c>
      <c r="M5" s="98" t="s">
        <v>2</v>
      </c>
      <c r="N5" s="98"/>
      <c r="O5" s="98"/>
      <c r="P5" s="98"/>
      <c r="Q5" s="98"/>
      <c r="R5" s="98"/>
      <c r="S5" s="98"/>
      <c r="W5" s="77" t="s">
        <v>114</v>
      </c>
      <c r="X5" s="78" t="s">
        <v>115</v>
      </c>
      <c r="Y5" s="78" t="s">
        <v>116</v>
      </c>
      <c r="Z5" s="78" t="s">
        <v>117</v>
      </c>
      <c r="AA5" s="78" t="s">
        <v>118</v>
      </c>
    </row>
    <row r="6" spans="2:31" ht="15" customHeight="1" thickBot="1" x14ac:dyDescent="0.25">
      <c r="B6" s="101"/>
      <c r="C6" s="101"/>
      <c r="D6" s="101"/>
      <c r="E6" s="101"/>
      <c r="F6" s="101"/>
      <c r="G6" s="101"/>
      <c r="H6" s="101"/>
      <c r="I6" s="101"/>
      <c r="J6" s="98" t="s">
        <v>64</v>
      </c>
      <c r="K6" s="98" t="s">
        <v>31</v>
      </c>
      <c r="L6" s="42">
        <v>4.8</v>
      </c>
      <c r="M6" s="98" t="s">
        <v>2</v>
      </c>
      <c r="N6" s="98"/>
      <c r="O6" s="98"/>
      <c r="P6" s="98"/>
      <c r="Q6" s="98"/>
      <c r="R6" s="98"/>
      <c r="S6" s="98"/>
      <c r="W6" s="79"/>
      <c r="X6" s="80"/>
      <c r="Y6" s="80"/>
      <c r="Z6" s="80"/>
      <c r="AA6" s="80"/>
    </row>
    <row r="7" spans="2:31" ht="15" customHeight="1" thickBot="1" x14ac:dyDescent="0.3">
      <c r="B7" s="101"/>
      <c r="C7" s="101"/>
      <c r="D7" s="101"/>
      <c r="E7" s="101"/>
      <c r="F7" s="101"/>
      <c r="G7" s="101"/>
      <c r="H7" s="102"/>
      <c r="I7" s="98"/>
      <c r="J7" s="98"/>
      <c r="K7" s="98" t="s">
        <v>103</v>
      </c>
      <c r="L7" s="54">
        <f>(L5*L6^2)/6</f>
        <v>28.031999999999996</v>
      </c>
      <c r="M7" s="98" t="s">
        <v>104</v>
      </c>
      <c r="N7" s="98"/>
      <c r="O7" s="98"/>
      <c r="P7" s="98"/>
      <c r="Q7" s="98"/>
      <c r="R7" s="98"/>
      <c r="S7" s="98"/>
      <c r="W7" s="164"/>
      <c r="X7" s="165"/>
      <c r="Y7" s="164"/>
      <c r="Z7" s="103"/>
      <c r="AA7" s="164"/>
    </row>
    <row r="8" spans="2:31" ht="15" customHeight="1" thickBot="1" x14ac:dyDescent="0.3">
      <c r="B8" s="101"/>
      <c r="C8" s="101"/>
      <c r="D8" s="101"/>
      <c r="E8" s="101"/>
      <c r="F8" s="101"/>
      <c r="G8" s="101"/>
      <c r="H8" s="102"/>
      <c r="I8" s="98"/>
      <c r="J8" s="98"/>
      <c r="K8" s="98" t="s">
        <v>105</v>
      </c>
      <c r="L8" s="54">
        <f>(L6*L5^2)/6</f>
        <v>42.631999999999998</v>
      </c>
      <c r="M8" s="98" t="s">
        <v>104</v>
      </c>
      <c r="N8" s="98"/>
      <c r="O8" s="98"/>
      <c r="P8" s="98"/>
      <c r="Q8" s="98"/>
      <c r="R8" s="98"/>
      <c r="S8" s="98"/>
    </row>
    <row r="9" spans="2:31" ht="15" customHeight="1" x14ac:dyDescent="0.2">
      <c r="B9" s="101"/>
      <c r="C9" s="101"/>
      <c r="D9" s="101"/>
      <c r="E9" s="101"/>
      <c r="F9" s="101"/>
      <c r="G9" s="101"/>
      <c r="H9" s="98"/>
      <c r="I9" s="98"/>
      <c r="J9" s="98"/>
      <c r="K9" s="98" t="s">
        <v>33</v>
      </c>
      <c r="L9" s="43">
        <f>L5*L6</f>
        <v>35.04</v>
      </c>
      <c r="M9" s="98" t="s">
        <v>106</v>
      </c>
      <c r="N9" s="105" t="s">
        <v>132</v>
      </c>
      <c r="O9" s="98"/>
      <c r="P9" s="98"/>
      <c r="Q9" s="98"/>
      <c r="R9" s="98"/>
      <c r="S9" s="98"/>
      <c r="V9" s="75"/>
      <c r="W9" s="76"/>
      <c r="X9" s="76"/>
      <c r="Y9" s="76"/>
      <c r="Z9" s="76"/>
      <c r="AA9" s="76"/>
      <c r="AB9" s="76"/>
      <c r="AC9" s="180" t="s">
        <v>76</v>
      </c>
      <c r="AD9" s="183" t="s">
        <v>77</v>
      </c>
      <c r="AE9" s="186" t="s">
        <v>111</v>
      </c>
    </row>
    <row r="10" spans="2:31" ht="15" customHeight="1" x14ac:dyDescent="0.2">
      <c r="B10" s="101"/>
      <c r="C10" s="101"/>
      <c r="D10" s="106"/>
      <c r="E10" s="106"/>
      <c r="F10" s="106"/>
      <c r="G10" s="106"/>
      <c r="H10" s="102"/>
      <c r="I10" s="98"/>
      <c r="J10" s="98" t="s">
        <v>84</v>
      </c>
      <c r="K10" s="98" t="s">
        <v>34</v>
      </c>
      <c r="L10" s="69">
        <v>3</v>
      </c>
      <c r="M10" s="98" t="s">
        <v>2</v>
      </c>
      <c r="N10" s="98"/>
      <c r="O10" s="98"/>
      <c r="P10" s="98"/>
      <c r="Q10" s="98"/>
      <c r="R10" s="98"/>
      <c r="S10" s="98"/>
      <c r="V10" s="77" t="s">
        <v>113</v>
      </c>
      <c r="W10" s="78" t="s">
        <v>114</v>
      </c>
      <c r="X10" s="78" t="s">
        <v>115</v>
      </c>
      <c r="Y10" s="78" t="s">
        <v>116</v>
      </c>
      <c r="Z10" s="78" t="s">
        <v>117</v>
      </c>
      <c r="AA10" s="78" t="s">
        <v>118</v>
      </c>
      <c r="AB10" s="78" t="s">
        <v>119</v>
      </c>
      <c r="AC10" s="181"/>
      <c r="AD10" s="184"/>
      <c r="AE10" s="187"/>
    </row>
    <row r="11" spans="2:31" ht="15" customHeight="1" thickBot="1" x14ac:dyDescent="0.25">
      <c r="B11" s="101"/>
      <c r="C11" s="101"/>
      <c r="D11" s="101"/>
      <c r="E11" s="101"/>
      <c r="F11" s="101"/>
      <c r="G11" s="101"/>
      <c r="H11" s="101"/>
      <c r="I11" s="101"/>
      <c r="J11" s="97" t="s">
        <v>85</v>
      </c>
      <c r="K11" s="101" t="s">
        <v>35</v>
      </c>
      <c r="L11" s="69">
        <f>L10-L13</f>
        <v>1.3</v>
      </c>
      <c r="M11" s="98" t="s">
        <v>2</v>
      </c>
      <c r="N11" s="98"/>
      <c r="O11" s="98"/>
      <c r="P11" s="98"/>
      <c r="Q11" s="98"/>
      <c r="R11" s="98"/>
      <c r="S11" s="98"/>
      <c r="V11" s="79"/>
      <c r="W11" s="80"/>
      <c r="X11" s="80"/>
      <c r="Y11" s="80"/>
      <c r="Z11" s="80"/>
      <c r="AA11" s="80"/>
      <c r="AB11" s="80"/>
      <c r="AC11" s="182"/>
      <c r="AD11" s="185"/>
      <c r="AE11" s="188"/>
    </row>
    <row r="12" spans="2:31" ht="15" customHeight="1" thickBot="1" x14ac:dyDescent="0.25">
      <c r="B12" s="101"/>
      <c r="C12" s="101"/>
      <c r="D12" s="101"/>
      <c r="E12" s="101"/>
      <c r="F12" s="101"/>
      <c r="G12" s="101"/>
      <c r="H12" s="101"/>
      <c r="I12" s="101"/>
      <c r="J12" s="101" t="s">
        <v>37</v>
      </c>
      <c r="K12" s="101" t="s">
        <v>36</v>
      </c>
      <c r="L12" s="104">
        <f>L10-L11</f>
        <v>1.7</v>
      </c>
      <c r="M12" s="98" t="s">
        <v>2</v>
      </c>
      <c r="N12" s="107" t="s">
        <v>76</v>
      </c>
      <c r="O12" s="108" t="s">
        <v>77</v>
      </c>
      <c r="P12" s="108" t="s">
        <v>111</v>
      </c>
      <c r="Q12" s="98"/>
      <c r="R12" s="98"/>
      <c r="S12" s="98"/>
      <c r="V12" s="166">
        <v>1</v>
      </c>
      <c r="W12" s="167">
        <v>8.5</v>
      </c>
      <c r="X12" s="168">
        <v>-59.5</v>
      </c>
      <c r="Y12" s="167">
        <v>237</v>
      </c>
      <c r="Z12" s="169">
        <v>-79</v>
      </c>
      <c r="AA12" s="167">
        <v>-3.1</v>
      </c>
      <c r="AB12" s="103"/>
      <c r="AC12" s="110">
        <v>209.21615260335139</v>
      </c>
      <c r="AD12" s="111">
        <v>206.83624739664864</v>
      </c>
      <c r="AE12" s="112">
        <v>2.5043365167023559</v>
      </c>
    </row>
    <row r="13" spans="2:31" ht="15" customHeight="1" thickBot="1" x14ac:dyDescent="0.25">
      <c r="B13" s="101"/>
      <c r="C13" s="101"/>
      <c r="D13" s="101"/>
      <c r="E13" s="101"/>
      <c r="F13" s="101"/>
      <c r="G13" s="101"/>
      <c r="H13" s="101"/>
      <c r="I13" s="101"/>
      <c r="J13" s="101" t="s">
        <v>43</v>
      </c>
      <c r="K13" s="101" t="s">
        <v>44</v>
      </c>
      <c r="L13" s="42">
        <v>1.7</v>
      </c>
      <c r="M13" s="98" t="s">
        <v>2</v>
      </c>
      <c r="N13" s="110">
        <f>O163</f>
        <v>198.15120000000002</v>
      </c>
      <c r="O13" s="111">
        <f>O164</f>
        <v>198.15120000000002</v>
      </c>
      <c r="P13" s="112">
        <f>O165</f>
        <v>0</v>
      </c>
      <c r="Q13" s="98"/>
      <c r="R13" s="98"/>
      <c r="S13" s="98"/>
      <c r="V13" s="166">
        <v>2</v>
      </c>
      <c r="W13" s="167">
        <v>15.6</v>
      </c>
      <c r="X13" s="168">
        <v>-75.400000000000006</v>
      </c>
      <c r="Y13" s="167">
        <v>285.2</v>
      </c>
      <c r="Z13" s="169">
        <v>-24.5</v>
      </c>
      <c r="AA13" s="167">
        <v>3.5</v>
      </c>
      <c r="AB13" s="103"/>
      <c r="AC13" s="110">
        <v>214.95249219077147</v>
      </c>
      <c r="AD13" s="111">
        <v>205.11657447589522</v>
      </c>
      <c r="AE13" s="112">
        <v>3.2082034605748504</v>
      </c>
    </row>
    <row r="14" spans="2:31" ht="26.25" thickBot="1" x14ac:dyDescent="0.25">
      <c r="B14" s="101"/>
      <c r="C14" s="101"/>
      <c r="D14" s="101"/>
      <c r="E14" s="101"/>
      <c r="F14" s="101"/>
      <c r="G14" s="101"/>
      <c r="H14" s="101"/>
      <c r="I14" s="101"/>
      <c r="J14" s="101" t="s">
        <v>45</v>
      </c>
      <c r="K14" s="101" t="s">
        <v>46</v>
      </c>
      <c r="L14" s="113">
        <f>L10-L13</f>
        <v>1.3</v>
      </c>
      <c r="M14" s="98" t="s">
        <v>2</v>
      </c>
      <c r="N14" s="98"/>
      <c r="O14" s="98"/>
      <c r="P14" s="98"/>
      <c r="Q14" s="98"/>
      <c r="R14" s="98"/>
      <c r="S14" s="98"/>
      <c r="V14" s="109">
        <v>3</v>
      </c>
      <c r="W14" s="164"/>
      <c r="X14" s="165"/>
      <c r="Y14" s="164"/>
      <c r="Z14" s="103"/>
      <c r="AA14" s="164"/>
      <c r="AB14" s="103"/>
      <c r="AC14" s="110">
        <v>198.15120000000002</v>
      </c>
      <c r="AD14" s="111">
        <v>198.15120000000002</v>
      </c>
      <c r="AE14" s="112">
        <v>0</v>
      </c>
    </row>
    <row r="15" spans="2:31" ht="15" customHeight="1" thickBot="1" x14ac:dyDescent="0.25">
      <c r="B15" s="101"/>
      <c r="C15" s="101"/>
      <c r="D15" s="101"/>
      <c r="E15" s="101"/>
      <c r="F15" s="101"/>
      <c r="G15" s="101"/>
      <c r="H15" s="101"/>
      <c r="I15" s="101"/>
      <c r="J15" s="98"/>
      <c r="K15" s="98"/>
      <c r="L15" s="98"/>
      <c r="N15" s="98"/>
      <c r="O15" s="98"/>
      <c r="P15" s="98"/>
      <c r="Q15" s="98"/>
      <c r="R15" s="98"/>
      <c r="S15" s="98"/>
      <c r="V15" s="109">
        <v>4</v>
      </c>
      <c r="W15" s="164"/>
      <c r="X15" s="165"/>
      <c r="Y15" s="164"/>
      <c r="Z15" s="103"/>
      <c r="AA15" s="164"/>
      <c r="AB15" s="103"/>
      <c r="AC15" s="110">
        <v>198.15120000000002</v>
      </c>
      <c r="AD15" s="111">
        <v>198.15120000000002</v>
      </c>
      <c r="AE15" s="112">
        <v>0</v>
      </c>
    </row>
    <row r="16" spans="2:31" ht="15" customHeight="1" thickBot="1" x14ac:dyDescent="0.25">
      <c r="B16" s="101"/>
      <c r="C16" s="101"/>
      <c r="D16" s="101"/>
      <c r="E16" s="101"/>
      <c r="F16" s="101"/>
      <c r="G16" s="101"/>
      <c r="H16" s="101"/>
      <c r="I16" s="101"/>
      <c r="J16" s="99" t="s">
        <v>40</v>
      </c>
      <c r="K16" s="101"/>
      <c r="L16" s="101"/>
      <c r="M16" s="98"/>
      <c r="N16" s="98"/>
      <c r="O16" s="98"/>
      <c r="P16" s="98"/>
      <c r="Q16" s="98"/>
      <c r="R16" s="98"/>
      <c r="S16" s="98"/>
      <c r="V16" s="109">
        <v>5</v>
      </c>
      <c r="W16" s="164"/>
      <c r="X16" s="165"/>
      <c r="Y16" s="164"/>
      <c r="Z16" s="103"/>
      <c r="AA16" s="164"/>
      <c r="AB16" s="103"/>
      <c r="AC16" s="110">
        <v>198.15120000000002</v>
      </c>
      <c r="AD16" s="111">
        <v>198.15120000000002</v>
      </c>
      <c r="AE16" s="112">
        <v>0</v>
      </c>
    </row>
    <row r="17" spans="2:31" ht="15" customHeight="1" thickBot="1" x14ac:dyDescent="0.25">
      <c r="B17" s="101"/>
      <c r="C17" s="101"/>
      <c r="D17" s="101"/>
      <c r="E17" s="101"/>
      <c r="F17" s="101"/>
      <c r="G17" s="101"/>
      <c r="H17" s="101"/>
      <c r="I17" s="101"/>
      <c r="J17" s="101" t="s">
        <v>47</v>
      </c>
      <c r="K17" s="114" t="s">
        <v>86</v>
      </c>
      <c r="L17" s="115">
        <f>Y7</f>
        <v>0</v>
      </c>
      <c r="M17" s="98" t="s">
        <v>0</v>
      </c>
      <c r="N17" s="98"/>
      <c r="O17" s="98"/>
      <c r="P17" s="98"/>
      <c r="Q17" s="98"/>
      <c r="R17" s="98"/>
      <c r="S17" s="98"/>
      <c r="V17" s="109">
        <v>6</v>
      </c>
      <c r="W17" s="164"/>
      <c r="X17" s="165"/>
      <c r="Y17" s="164"/>
      <c r="Z17" s="103"/>
      <c r="AA17" s="164"/>
      <c r="AB17" s="103"/>
      <c r="AC17" s="110">
        <v>198.15120000000002</v>
      </c>
      <c r="AD17" s="111">
        <v>198.15120000000002</v>
      </c>
      <c r="AE17" s="112">
        <v>0</v>
      </c>
    </row>
    <row r="18" spans="2:31" ht="15" customHeight="1" x14ac:dyDescent="0.25">
      <c r="B18" s="101"/>
      <c r="C18" s="101"/>
      <c r="D18" s="101"/>
      <c r="E18" s="101"/>
      <c r="F18" s="101"/>
      <c r="G18" s="101"/>
      <c r="H18" s="101"/>
      <c r="I18" s="101"/>
      <c r="J18" s="101" t="s">
        <v>48</v>
      </c>
      <c r="K18" s="114" t="s">
        <v>87</v>
      </c>
      <c r="L18" s="115">
        <f>W7</f>
        <v>0</v>
      </c>
      <c r="M18" s="98" t="s">
        <v>0</v>
      </c>
      <c r="N18" s="98"/>
      <c r="O18" s="98"/>
      <c r="P18" s="98"/>
      <c r="Q18" s="98"/>
      <c r="R18" s="98"/>
      <c r="S18" s="98"/>
      <c r="AC18" s="180" t="s">
        <v>76</v>
      </c>
      <c r="AD18" s="183" t="s">
        <v>77</v>
      </c>
      <c r="AE18" s="186" t="s">
        <v>111</v>
      </c>
    </row>
    <row r="19" spans="2:31" ht="15" customHeight="1" x14ac:dyDescent="0.25">
      <c r="B19" s="101"/>
      <c r="C19" s="101"/>
      <c r="D19" s="101"/>
      <c r="E19" s="101"/>
      <c r="F19" s="101"/>
      <c r="G19" s="101"/>
      <c r="H19" s="101"/>
      <c r="I19" s="101"/>
      <c r="J19" s="101" t="s">
        <v>49</v>
      </c>
      <c r="K19" s="114" t="s">
        <v>88</v>
      </c>
      <c r="L19" s="115">
        <f>X7</f>
        <v>0</v>
      </c>
      <c r="M19" s="98" t="s">
        <v>0</v>
      </c>
      <c r="N19" s="98"/>
      <c r="O19" s="98"/>
      <c r="P19" s="98"/>
      <c r="Q19" s="98"/>
      <c r="R19" s="98"/>
      <c r="S19" s="98"/>
      <c r="AC19" s="181"/>
      <c r="AD19" s="184"/>
      <c r="AE19" s="187"/>
    </row>
    <row r="20" spans="2:31" ht="15" customHeight="1" thickBot="1" x14ac:dyDescent="0.3">
      <c r="B20" s="101"/>
      <c r="C20" s="101"/>
      <c r="D20" s="101"/>
      <c r="E20" s="101"/>
      <c r="F20" s="101"/>
      <c r="G20" s="101"/>
      <c r="H20" s="101"/>
      <c r="I20" s="101"/>
      <c r="J20" s="101" t="s">
        <v>50</v>
      </c>
      <c r="K20" s="114" t="s">
        <v>89</v>
      </c>
      <c r="L20" s="115">
        <f>Z7</f>
        <v>0</v>
      </c>
      <c r="M20" s="98" t="s">
        <v>1</v>
      </c>
      <c r="N20" s="98"/>
      <c r="O20" s="98"/>
      <c r="P20" s="98"/>
      <c r="Q20" s="98"/>
      <c r="R20" s="98"/>
      <c r="S20" s="98"/>
      <c r="AC20" s="182"/>
      <c r="AD20" s="185"/>
      <c r="AE20" s="188"/>
    </row>
    <row r="21" spans="2:31" ht="15" customHeight="1" x14ac:dyDescent="0.25">
      <c r="B21" s="101"/>
      <c r="C21" s="101"/>
      <c r="D21" s="101"/>
      <c r="E21" s="101"/>
      <c r="F21" s="101"/>
      <c r="G21" s="101"/>
      <c r="H21" s="101"/>
      <c r="I21" s="101"/>
      <c r="J21" s="101" t="s">
        <v>51</v>
      </c>
      <c r="K21" s="114" t="s">
        <v>90</v>
      </c>
      <c r="L21" s="115">
        <f>AA7</f>
        <v>0</v>
      </c>
      <c r="M21" s="98" t="s">
        <v>1</v>
      </c>
      <c r="N21" s="98"/>
      <c r="O21" s="98"/>
      <c r="P21" s="98"/>
      <c r="Q21" s="98"/>
      <c r="R21" s="98"/>
      <c r="S21" s="98"/>
      <c r="AC21" s="110">
        <f>MAX(AC12:AC17)</f>
        <v>214.95249219077147</v>
      </c>
      <c r="AD21" s="111">
        <f>MIN(AD12:AD17)</f>
        <v>198.15120000000002</v>
      </c>
      <c r="AE21" s="112">
        <f t="shared" ref="AE21" si="0">MAX(AE12:AE17)</f>
        <v>3.2082034605748504</v>
      </c>
    </row>
    <row r="22" spans="2:31" ht="15" customHeight="1" x14ac:dyDescent="0.25">
      <c r="B22" s="101"/>
      <c r="C22" s="101"/>
      <c r="D22" s="101"/>
      <c r="E22" s="101"/>
      <c r="F22" s="101"/>
      <c r="G22" s="101"/>
      <c r="H22" s="101"/>
      <c r="I22" s="101"/>
      <c r="J22" s="101" t="s">
        <v>41</v>
      </c>
      <c r="K22" s="114" t="s">
        <v>91</v>
      </c>
      <c r="L22" s="100">
        <v>0</v>
      </c>
      <c r="M22" s="98" t="s">
        <v>2</v>
      </c>
      <c r="N22" s="98"/>
      <c r="O22" s="98"/>
      <c r="P22" s="98"/>
      <c r="Q22" s="98"/>
      <c r="R22" s="98"/>
      <c r="S22" s="98"/>
      <c r="AC22" s="110"/>
      <c r="AD22" s="111"/>
      <c r="AE22" s="112"/>
    </row>
    <row r="23" spans="2:31" ht="15" customHeight="1" x14ac:dyDescent="0.25">
      <c r="B23" s="101"/>
      <c r="C23" s="101"/>
      <c r="D23" s="101"/>
      <c r="E23" s="101"/>
      <c r="F23" s="101"/>
      <c r="G23" s="101"/>
      <c r="H23" s="101"/>
      <c r="I23" s="101"/>
      <c r="J23" s="101" t="s">
        <v>42</v>
      </c>
      <c r="K23" s="114" t="s">
        <v>92</v>
      </c>
      <c r="L23" s="100">
        <v>0</v>
      </c>
      <c r="M23" s="98" t="s">
        <v>2</v>
      </c>
      <c r="N23" s="98"/>
      <c r="O23" s="98"/>
      <c r="P23" s="98"/>
      <c r="Q23" s="98"/>
      <c r="R23" s="98"/>
      <c r="S23" s="98"/>
      <c r="AC23" s="110"/>
      <c r="AD23" s="111"/>
      <c r="AE23" s="112"/>
    </row>
    <row r="24" spans="2:31" ht="25.5" x14ac:dyDescent="0.25">
      <c r="B24" s="101"/>
      <c r="C24" s="101"/>
      <c r="D24" s="101"/>
      <c r="E24" s="101"/>
      <c r="F24" s="101"/>
      <c r="G24" s="101"/>
      <c r="H24" s="101"/>
      <c r="I24" s="101"/>
      <c r="J24" s="101" t="s">
        <v>60</v>
      </c>
      <c r="K24" s="114" t="s">
        <v>93</v>
      </c>
      <c r="L24" s="104">
        <f>L17*-L23</f>
        <v>0</v>
      </c>
      <c r="M24" s="98" t="s">
        <v>1</v>
      </c>
      <c r="N24" s="98"/>
      <c r="O24" s="98"/>
      <c r="P24" s="98"/>
      <c r="Q24" s="98"/>
      <c r="R24" s="98"/>
      <c r="S24" s="98"/>
    </row>
    <row r="25" spans="2:31" ht="25.5" x14ac:dyDescent="0.25">
      <c r="B25" s="101"/>
      <c r="C25" s="174" t="s">
        <v>52</v>
      </c>
      <c r="D25" s="174"/>
      <c r="E25" s="174"/>
      <c r="F25" s="174"/>
      <c r="G25" s="174"/>
      <c r="H25" s="174"/>
      <c r="I25" s="101"/>
      <c r="J25" s="101" t="s">
        <v>61</v>
      </c>
      <c r="K25" s="114" t="s">
        <v>94</v>
      </c>
      <c r="L25" s="116">
        <f>L17*L22</f>
        <v>0</v>
      </c>
      <c r="M25" s="98" t="s">
        <v>1</v>
      </c>
      <c r="N25" s="98"/>
      <c r="O25" s="98"/>
      <c r="P25" s="98"/>
      <c r="Q25" s="98"/>
      <c r="R25" s="98"/>
      <c r="S25" s="98"/>
    </row>
    <row r="26" spans="2:31" ht="25.5" x14ac:dyDescent="0.25">
      <c r="B26" s="101"/>
      <c r="C26" s="175"/>
      <c r="D26" s="175"/>
      <c r="E26" s="175"/>
      <c r="F26" s="175"/>
      <c r="G26" s="175"/>
      <c r="H26" s="175"/>
      <c r="I26" s="101"/>
      <c r="J26" s="101" t="s">
        <v>62</v>
      </c>
      <c r="K26" s="114" t="s">
        <v>95</v>
      </c>
      <c r="L26" s="104">
        <f>L18*L12</f>
        <v>0</v>
      </c>
      <c r="M26" s="98" t="s">
        <v>1</v>
      </c>
      <c r="N26" s="98"/>
      <c r="O26" s="98"/>
      <c r="P26" s="98"/>
      <c r="Q26" s="98"/>
      <c r="R26" s="98"/>
      <c r="S26" s="98"/>
    </row>
    <row r="27" spans="2:31" ht="25.5" x14ac:dyDescent="0.25">
      <c r="B27" s="101"/>
      <c r="C27" s="177" t="s">
        <v>11</v>
      </c>
      <c r="D27" s="178"/>
      <c r="E27" s="178"/>
      <c r="F27" s="178"/>
      <c r="G27" s="179"/>
      <c r="H27" s="68">
        <v>25</v>
      </c>
      <c r="I27" s="98" t="s">
        <v>96</v>
      </c>
      <c r="J27" s="101" t="s">
        <v>58</v>
      </c>
      <c r="K27" s="114" t="s">
        <v>97</v>
      </c>
      <c r="L27" s="104">
        <f>-L19*L12</f>
        <v>0</v>
      </c>
      <c r="M27" s="98" t="s">
        <v>1</v>
      </c>
      <c r="N27" s="98"/>
      <c r="O27" s="98"/>
      <c r="P27" s="98"/>
      <c r="Q27" s="98"/>
      <c r="R27" s="98"/>
      <c r="S27" s="98"/>
    </row>
    <row r="28" spans="2:31" ht="23.25" customHeight="1" x14ac:dyDescent="0.2">
      <c r="C28" s="177" t="s">
        <v>53</v>
      </c>
      <c r="D28" s="178"/>
      <c r="E28" s="178"/>
      <c r="F28" s="178"/>
      <c r="G28" s="179"/>
      <c r="H28" s="45">
        <v>19</v>
      </c>
      <c r="I28" s="98" t="s">
        <v>96</v>
      </c>
      <c r="J28" s="101"/>
      <c r="K28" s="101"/>
      <c r="L28" s="101"/>
      <c r="M28" s="98"/>
      <c r="N28" s="98"/>
      <c r="O28" s="98"/>
      <c r="P28" s="98"/>
      <c r="Q28" s="98"/>
      <c r="R28" s="98"/>
      <c r="S28" s="98"/>
    </row>
    <row r="29" spans="2:31" ht="15" customHeight="1" x14ac:dyDescent="0.2">
      <c r="B29" s="101"/>
      <c r="C29" s="177" t="s">
        <v>54</v>
      </c>
      <c r="D29" s="178"/>
      <c r="E29" s="178"/>
      <c r="F29" s="178"/>
      <c r="G29" s="179"/>
      <c r="H29" s="45">
        <v>30</v>
      </c>
      <c r="I29" s="98" t="s">
        <v>96</v>
      </c>
      <c r="J29" s="99" t="s">
        <v>59</v>
      </c>
      <c r="K29" s="101"/>
      <c r="L29" s="101"/>
      <c r="M29" s="98"/>
      <c r="N29" s="98"/>
      <c r="O29" s="98"/>
      <c r="P29" s="98"/>
      <c r="Q29" s="98"/>
      <c r="R29" s="98"/>
      <c r="S29" s="98"/>
    </row>
    <row r="30" spans="2:31" ht="15" customHeight="1" x14ac:dyDescent="0.2">
      <c r="B30" s="101"/>
      <c r="C30" s="177" t="s">
        <v>55</v>
      </c>
      <c r="D30" s="178"/>
      <c r="E30" s="178"/>
      <c r="F30" s="178"/>
      <c r="G30" s="179"/>
      <c r="H30" s="47">
        <f>L13*L9</f>
        <v>59.567999999999998</v>
      </c>
      <c r="I30" s="98" t="s">
        <v>98</v>
      </c>
      <c r="J30" s="101" t="s">
        <v>47</v>
      </c>
      <c r="K30" s="114" t="s">
        <v>86</v>
      </c>
      <c r="L30" s="117">
        <f>L17+H38</f>
        <v>4755.6288000000004</v>
      </c>
      <c r="M30" s="98" t="s">
        <v>0</v>
      </c>
      <c r="N30" s="98"/>
      <c r="O30" s="98"/>
      <c r="P30" s="98"/>
      <c r="Q30" s="98"/>
      <c r="R30" s="98"/>
      <c r="S30" s="98"/>
    </row>
    <row r="31" spans="2:31" ht="15" customHeight="1" x14ac:dyDescent="0.25">
      <c r="B31" s="101"/>
      <c r="C31" s="177" t="s">
        <v>56</v>
      </c>
      <c r="D31" s="178"/>
      <c r="E31" s="178"/>
      <c r="F31" s="178"/>
      <c r="G31" s="179"/>
      <c r="H31" s="47">
        <f>L14*L9</f>
        <v>45.552</v>
      </c>
      <c r="I31" s="98" t="s">
        <v>98</v>
      </c>
      <c r="J31" s="101" t="s">
        <v>48</v>
      </c>
      <c r="K31" s="114" t="s">
        <v>99</v>
      </c>
      <c r="L31" s="104">
        <f>L18</f>
        <v>0</v>
      </c>
      <c r="M31" s="98" t="s">
        <v>0</v>
      </c>
      <c r="N31" s="98"/>
      <c r="O31" s="98"/>
      <c r="P31" s="98"/>
      <c r="Q31" s="98"/>
      <c r="R31" s="98"/>
      <c r="S31" s="98"/>
    </row>
    <row r="32" spans="2:31" ht="15" customHeight="1" x14ac:dyDescent="0.25">
      <c r="B32" s="101"/>
      <c r="C32" s="177" t="s">
        <v>26</v>
      </c>
      <c r="D32" s="178"/>
      <c r="E32" s="178"/>
      <c r="F32" s="178"/>
      <c r="G32" s="179"/>
      <c r="H32" s="45">
        <v>1.35</v>
      </c>
      <c r="I32" s="101" t="s">
        <v>57</v>
      </c>
      <c r="J32" s="101" t="s">
        <v>49</v>
      </c>
      <c r="K32" s="114" t="s">
        <v>100</v>
      </c>
      <c r="L32" s="104">
        <f>L19</f>
        <v>0</v>
      </c>
      <c r="M32" s="98" t="s">
        <v>0</v>
      </c>
      <c r="N32" s="98"/>
      <c r="O32" s="98"/>
      <c r="P32" s="98"/>
      <c r="Q32" s="98"/>
      <c r="R32" s="98"/>
      <c r="S32" s="98"/>
    </row>
    <row r="33" spans="2:20" ht="15" customHeight="1" x14ac:dyDescent="0.25">
      <c r="B33" s="101"/>
      <c r="C33" s="177" t="s">
        <v>27</v>
      </c>
      <c r="D33" s="178"/>
      <c r="E33" s="178"/>
      <c r="F33" s="178"/>
      <c r="G33" s="179"/>
      <c r="H33" s="45">
        <v>1.5</v>
      </c>
      <c r="I33" s="101" t="s">
        <v>57</v>
      </c>
      <c r="J33" s="101" t="s">
        <v>50</v>
      </c>
      <c r="K33" s="114" t="s">
        <v>101</v>
      </c>
      <c r="L33" s="104">
        <f>L20+L24+L27</f>
        <v>0</v>
      </c>
      <c r="M33" s="98" t="s">
        <v>1</v>
      </c>
      <c r="N33" s="98"/>
      <c r="O33" s="98"/>
      <c r="P33" s="98"/>
      <c r="Q33" s="98"/>
      <c r="R33" s="98"/>
      <c r="S33" s="98"/>
    </row>
    <row r="34" spans="2:20" ht="15" customHeight="1" x14ac:dyDescent="0.25">
      <c r="B34" s="101"/>
      <c r="C34" s="177" t="s">
        <v>28</v>
      </c>
      <c r="D34" s="178"/>
      <c r="E34" s="178"/>
      <c r="F34" s="178"/>
      <c r="G34" s="179"/>
      <c r="H34" s="45">
        <v>1.35</v>
      </c>
      <c r="I34" s="101" t="s">
        <v>57</v>
      </c>
      <c r="J34" s="101" t="s">
        <v>51</v>
      </c>
      <c r="K34" s="114" t="s">
        <v>102</v>
      </c>
      <c r="L34" s="104">
        <f>L21+L25+L26</f>
        <v>0</v>
      </c>
      <c r="M34" s="98" t="s">
        <v>1</v>
      </c>
      <c r="N34" s="98"/>
      <c r="O34" s="98"/>
      <c r="P34" s="98"/>
      <c r="Q34" s="98"/>
      <c r="R34" s="98"/>
      <c r="S34" s="98"/>
    </row>
    <row r="35" spans="2:20" ht="15" customHeight="1" x14ac:dyDescent="0.2">
      <c r="B35" s="101"/>
      <c r="C35" s="177" t="s">
        <v>15</v>
      </c>
      <c r="D35" s="178"/>
      <c r="E35" s="178"/>
      <c r="F35" s="178"/>
      <c r="G35" s="179"/>
      <c r="H35" s="49">
        <f>L9*H29*H33</f>
        <v>1576.8000000000002</v>
      </c>
      <c r="I35" s="98" t="s">
        <v>12</v>
      </c>
      <c r="J35" s="101"/>
      <c r="K35" s="101"/>
      <c r="L35" s="101"/>
      <c r="M35" s="101"/>
      <c r="N35" s="98"/>
      <c r="O35" s="98"/>
      <c r="P35" s="98"/>
      <c r="Q35" s="98"/>
      <c r="R35" s="98"/>
      <c r="S35" s="98"/>
    </row>
    <row r="36" spans="2:20" ht="15" customHeight="1" x14ac:dyDescent="0.2">
      <c r="B36" s="101"/>
      <c r="C36" s="177" t="s">
        <v>13</v>
      </c>
      <c r="D36" s="178"/>
      <c r="E36" s="178"/>
      <c r="F36" s="178"/>
      <c r="G36" s="179"/>
      <c r="H36" s="49">
        <f>H27*H30*H32</f>
        <v>2010.4200000000003</v>
      </c>
      <c r="I36" s="98" t="s">
        <v>12</v>
      </c>
      <c r="J36" s="101"/>
      <c r="K36" s="101"/>
      <c r="L36" s="101"/>
      <c r="M36" s="98"/>
      <c r="N36" s="98"/>
      <c r="O36" s="98"/>
      <c r="P36" s="98"/>
      <c r="Q36" s="98"/>
      <c r="R36" s="98"/>
      <c r="S36" s="98"/>
    </row>
    <row r="37" spans="2:20" ht="15" customHeight="1" x14ac:dyDescent="0.2">
      <c r="B37" s="101"/>
      <c r="C37" s="177" t="s">
        <v>14</v>
      </c>
      <c r="D37" s="178"/>
      <c r="E37" s="178"/>
      <c r="F37" s="178"/>
      <c r="G37" s="179"/>
      <c r="H37" s="49">
        <f>H28*H31*H34</f>
        <v>1168.4087999999999</v>
      </c>
      <c r="I37" s="98" t="s">
        <v>12</v>
      </c>
      <c r="J37" s="101"/>
      <c r="K37" s="101"/>
      <c r="L37" s="101"/>
      <c r="M37" s="98"/>
      <c r="N37" s="98"/>
      <c r="O37" s="98"/>
      <c r="P37" s="98"/>
      <c r="Q37" s="98"/>
      <c r="R37" s="98"/>
      <c r="S37" s="98"/>
    </row>
    <row r="38" spans="2:20" ht="25.5" customHeight="1" x14ac:dyDescent="0.2">
      <c r="B38" s="101"/>
      <c r="C38" s="176" t="s">
        <v>108</v>
      </c>
      <c r="D38" s="176"/>
      <c r="E38" s="176"/>
      <c r="F38" s="176"/>
      <c r="G38" s="176"/>
      <c r="H38" s="117">
        <f>H36+H37+H35</f>
        <v>4755.6288000000004</v>
      </c>
      <c r="I38" s="118" t="s">
        <v>12</v>
      </c>
      <c r="J38" s="101"/>
      <c r="K38" s="101"/>
      <c r="L38" s="101"/>
      <c r="M38" s="98"/>
      <c r="N38" s="98"/>
      <c r="O38" s="98"/>
      <c r="P38" s="98"/>
      <c r="Q38" s="98"/>
      <c r="R38" s="98"/>
      <c r="S38" s="98"/>
    </row>
    <row r="39" spans="2:20" ht="15" customHeight="1" x14ac:dyDescent="0.2">
      <c r="B39" s="101"/>
      <c r="C39" s="98"/>
      <c r="D39" s="98"/>
      <c r="E39" s="98"/>
      <c r="F39" s="98"/>
      <c r="G39" s="98"/>
      <c r="H39" s="98"/>
      <c r="I39" s="98"/>
      <c r="J39" s="101"/>
      <c r="K39" s="101"/>
      <c r="L39" s="101"/>
      <c r="M39" s="98"/>
      <c r="N39" s="98"/>
      <c r="O39" s="98"/>
      <c r="P39" s="98"/>
      <c r="Q39" s="98"/>
      <c r="R39" s="98"/>
      <c r="S39" s="98"/>
    </row>
    <row r="40" spans="2:20" ht="12" customHeight="1" x14ac:dyDescent="0.2">
      <c r="B40" s="101"/>
      <c r="C40" s="171" t="s">
        <v>22</v>
      </c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98"/>
      <c r="O40" s="98"/>
      <c r="P40" s="98"/>
      <c r="Q40" s="98"/>
      <c r="R40" s="98"/>
      <c r="S40" s="98"/>
    </row>
    <row r="41" spans="2:20" ht="12" customHeight="1" x14ac:dyDescent="0.2">
      <c r="B41" s="101"/>
      <c r="C41" s="119"/>
      <c r="D41" s="117"/>
      <c r="E41" s="98"/>
      <c r="F41" s="98"/>
      <c r="G41" s="114"/>
      <c r="H41" s="117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</row>
    <row r="42" spans="2:20" x14ac:dyDescent="0.2">
      <c r="B42" s="101"/>
      <c r="C42" s="171" t="s">
        <v>83</v>
      </c>
      <c r="D42" s="171"/>
      <c r="E42" s="171"/>
      <c r="F42" s="119"/>
      <c r="G42" s="146">
        <f>MAX(C46:C145)</f>
        <v>24</v>
      </c>
      <c r="H42" s="118" t="s">
        <v>5</v>
      </c>
      <c r="I42" s="98"/>
      <c r="J42" s="98"/>
      <c r="K42" s="98"/>
      <c r="L42" s="98"/>
      <c r="M42" s="98"/>
      <c r="N42" s="172" t="s">
        <v>29</v>
      </c>
      <c r="O42" s="172"/>
      <c r="P42" s="172"/>
      <c r="Q42" s="172"/>
      <c r="R42" s="172"/>
      <c r="S42" s="120"/>
    </row>
    <row r="43" spans="2:20" ht="12.75" customHeight="1" x14ac:dyDescent="0.2">
      <c r="B43" s="101"/>
      <c r="C43" s="119"/>
      <c r="D43" s="119"/>
      <c r="E43" s="119"/>
      <c r="F43" s="119"/>
      <c r="G43" s="119"/>
      <c r="H43" s="118"/>
      <c r="I43" s="98"/>
      <c r="J43" s="98"/>
      <c r="K43" s="98"/>
      <c r="L43" s="98"/>
      <c r="M43" s="98"/>
      <c r="N43" s="172"/>
      <c r="O43" s="172"/>
      <c r="P43" s="172"/>
      <c r="Q43" s="172"/>
      <c r="R43" s="172"/>
      <c r="S43" s="120"/>
    </row>
    <row r="44" spans="2:20" s="121" customFormat="1" ht="25.5" x14ac:dyDescent="0.2">
      <c r="B44" s="101"/>
      <c r="C44" s="122" t="s">
        <v>21</v>
      </c>
      <c r="D44" s="122" t="s">
        <v>3</v>
      </c>
      <c r="E44" s="122" t="s">
        <v>4</v>
      </c>
      <c r="F44" s="122" t="s">
        <v>23</v>
      </c>
      <c r="G44" s="122" t="s">
        <v>65</v>
      </c>
      <c r="H44" s="122" t="s">
        <v>66</v>
      </c>
      <c r="I44" s="122" t="s">
        <v>16</v>
      </c>
      <c r="J44" s="122" t="s">
        <v>6</v>
      </c>
      <c r="K44" s="122" t="s">
        <v>67</v>
      </c>
      <c r="L44" s="122" t="s">
        <v>68</v>
      </c>
      <c r="M44" s="123" t="s">
        <v>69</v>
      </c>
      <c r="N44" s="122" t="s">
        <v>70</v>
      </c>
      <c r="O44" s="122" t="s">
        <v>71</v>
      </c>
      <c r="P44" s="122" t="s">
        <v>72</v>
      </c>
      <c r="Q44" s="122" t="s">
        <v>73</v>
      </c>
      <c r="R44" s="122" t="s">
        <v>74</v>
      </c>
      <c r="S44" s="120"/>
      <c r="T44" s="124"/>
    </row>
    <row r="45" spans="2:20" s="121" customFormat="1" ht="14.25" x14ac:dyDescent="0.2">
      <c r="B45" s="101"/>
      <c r="C45" s="125"/>
      <c r="D45" s="122" t="s">
        <v>7</v>
      </c>
      <c r="E45" s="122" t="s">
        <v>7</v>
      </c>
      <c r="F45" s="122" t="s">
        <v>24</v>
      </c>
      <c r="G45" s="122" t="s">
        <v>75</v>
      </c>
      <c r="H45" s="122" t="s">
        <v>75</v>
      </c>
      <c r="I45" s="122" t="s">
        <v>75</v>
      </c>
      <c r="J45" s="122" t="s">
        <v>8</v>
      </c>
      <c r="K45" s="122" t="s">
        <v>8</v>
      </c>
      <c r="L45" s="122" t="s">
        <v>8</v>
      </c>
      <c r="M45" s="123" t="s">
        <v>8</v>
      </c>
      <c r="N45" s="122" t="s">
        <v>7</v>
      </c>
      <c r="O45" s="122" t="s">
        <v>7</v>
      </c>
      <c r="P45" s="122" t="s">
        <v>75</v>
      </c>
      <c r="Q45" s="122" t="s">
        <v>75</v>
      </c>
      <c r="R45" s="122" t="s">
        <v>75</v>
      </c>
      <c r="S45" s="120"/>
      <c r="T45" s="124"/>
    </row>
    <row r="46" spans="2:20" s="121" customFormat="1" x14ac:dyDescent="0.2">
      <c r="B46" s="101">
        <f>M46</f>
        <v>198.15120000000002</v>
      </c>
      <c r="C46" s="5">
        <v>1</v>
      </c>
      <c r="D46" s="32">
        <v>-3.15</v>
      </c>
      <c r="E46" s="32">
        <v>1.9</v>
      </c>
      <c r="F46" s="32">
        <v>1</v>
      </c>
      <c r="G46" s="126">
        <f>D46^2*F46</f>
        <v>9.9224999999999994</v>
      </c>
      <c r="H46" s="126">
        <f>E46^2*F46</f>
        <v>3.61</v>
      </c>
      <c r="I46" s="127">
        <f>D46*E46*F46</f>
        <v>-5.9849999999999994</v>
      </c>
      <c r="J46" s="128">
        <f t="shared" ref="J46" si="1">$L$30*F46/$F$146</f>
        <v>198.15120000000002</v>
      </c>
      <c r="K46" s="128">
        <f t="shared" ref="K46" si="2">-($L$34*$I$153+$L$33*$I$152)/($I$151*$I$152-$I$153^2)*O46*F46</f>
        <v>0</v>
      </c>
      <c r="L46" s="128">
        <f t="shared" ref="L46" si="3">($L$33*$I$153+$L$34*$I$151)/($I$151*$I$152-$I$153^2)*N46*F46</f>
        <v>0</v>
      </c>
      <c r="M46" s="129">
        <f>J46+K46+L46</f>
        <v>198.15120000000002</v>
      </c>
      <c r="N46" s="130">
        <f t="shared" ref="N46" si="4">D46-$D$151</f>
        <v>-3.1500000000000004</v>
      </c>
      <c r="O46" s="130">
        <f t="shared" ref="O46" si="5">E46-$D$152</f>
        <v>1.9</v>
      </c>
      <c r="P46" s="130">
        <f>N46^2*F46</f>
        <v>9.922500000000003</v>
      </c>
      <c r="Q46" s="130">
        <f>O46^2*F46</f>
        <v>3.61</v>
      </c>
      <c r="R46" s="130">
        <f>N46*O46*F46</f>
        <v>-5.9850000000000003</v>
      </c>
      <c r="S46" s="131"/>
      <c r="T46" s="124"/>
    </row>
    <row r="47" spans="2:20" s="121" customFormat="1" x14ac:dyDescent="0.2">
      <c r="B47" s="101">
        <f>M47</f>
        <v>198.15120000000002</v>
      </c>
      <c r="C47" s="5">
        <f>MAX($C$46:C46)+1</f>
        <v>2</v>
      </c>
      <c r="D47" s="32">
        <v>-3.15</v>
      </c>
      <c r="E47" s="32">
        <v>0.65</v>
      </c>
      <c r="F47" s="32">
        <v>1</v>
      </c>
      <c r="G47" s="126">
        <f t="shared" ref="G47:G69" si="6">D47^2*F47</f>
        <v>9.9224999999999994</v>
      </c>
      <c r="H47" s="126">
        <f t="shared" ref="H47:H69" si="7">E47^2*F47</f>
        <v>0.42250000000000004</v>
      </c>
      <c r="I47" s="127">
        <f t="shared" ref="I47:I69" si="8">D47*E47*F47</f>
        <v>-2.0474999999999999</v>
      </c>
      <c r="J47" s="128">
        <f t="shared" ref="J47:J69" si="9">$L$30*F47/$F$146</f>
        <v>198.15120000000002</v>
      </c>
      <c r="K47" s="128">
        <f t="shared" ref="K47:K69" si="10">-($L$34*$I$153+$L$33*$I$152)/($I$151*$I$152-$I$153^2)*O47*F47</f>
        <v>0</v>
      </c>
      <c r="L47" s="128">
        <f t="shared" ref="L47:L69" si="11">($L$33*$I$153+$L$34*$I$151)/($I$151*$I$152-$I$153^2)*N47*F47</f>
        <v>0</v>
      </c>
      <c r="M47" s="129">
        <f t="shared" ref="M47:M69" si="12">J47+K47+L47</f>
        <v>198.15120000000002</v>
      </c>
      <c r="N47" s="130">
        <f t="shared" ref="N47:N69" si="13">D47-$D$151</f>
        <v>-3.1500000000000004</v>
      </c>
      <c r="O47" s="130">
        <f t="shared" ref="O47:O69" si="14">E47-$D$152</f>
        <v>0.65</v>
      </c>
      <c r="P47" s="130">
        <f t="shared" ref="P47:P69" si="15">N47^2*F47</f>
        <v>9.922500000000003</v>
      </c>
      <c r="Q47" s="130">
        <f t="shared" ref="Q47:Q69" si="16">O47^2*F47</f>
        <v>0.42250000000000004</v>
      </c>
      <c r="R47" s="130">
        <f t="shared" ref="R47:R69" si="17">N47*O47*F47</f>
        <v>-2.0475000000000003</v>
      </c>
      <c r="S47" s="131"/>
      <c r="T47" s="124"/>
    </row>
    <row r="48" spans="2:20" s="121" customFormat="1" x14ac:dyDescent="0.2">
      <c r="B48" s="101">
        <f t="shared" ref="B48:B111" si="18">M48</f>
        <v>198.15120000000002</v>
      </c>
      <c r="C48" s="5">
        <f>MAX($C$46:C47)+1</f>
        <v>3</v>
      </c>
      <c r="D48" s="32">
        <v>-3.15</v>
      </c>
      <c r="E48" s="32">
        <v>-0.65</v>
      </c>
      <c r="F48" s="32">
        <v>1</v>
      </c>
      <c r="G48" s="126">
        <f t="shared" si="6"/>
        <v>9.9224999999999994</v>
      </c>
      <c r="H48" s="126">
        <f t="shared" si="7"/>
        <v>0.42250000000000004</v>
      </c>
      <c r="I48" s="127">
        <f t="shared" si="8"/>
        <v>2.0474999999999999</v>
      </c>
      <c r="J48" s="128">
        <f t="shared" si="9"/>
        <v>198.15120000000002</v>
      </c>
      <c r="K48" s="128">
        <f t="shared" si="10"/>
        <v>0</v>
      </c>
      <c r="L48" s="128">
        <f t="shared" si="11"/>
        <v>0</v>
      </c>
      <c r="M48" s="129">
        <f t="shared" si="12"/>
        <v>198.15120000000002</v>
      </c>
      <c r="N48" s="130">
        <f t="shared" si="13"/>
        <v>-3.1500000000000004</v>
      </c>
      <c r="O48" s="130">
        <f t="shared" si="14"/>
        <v>-0.65</v>
      </c>
      <c r="P48" s="130">
        <f t="shared" si="15"/>
        <v>9.922500000000003</v>
      </c>
      <c r="Q48" s="130">
        <f t="shared" si="16"/>
        <v>0.42250000000000004</v>
      </c>
      <c r="R48" s="130">
        <f t="shared" si="17"/>
        <v>2.0475000000000003</v>
      </c>
      <c r="S48" s="131"/>
      <c r="T48" s="124"/>
    </row>
    <row r="49" spans="2:20" s="121" customFormat="1" x14ac:dyDescent="0.2">
      <c r="B49" s="101">
        <f t="shared" si="18"/>
        <v>198.15120000000002</v>
      </c>
      <c r="C49" s="5">
        <f>MAX($C$46:C48)+1</f>
        <v>4</v>
      </c>
      <c r="D49" s="32">
        <v>-3.15</v>
      </c>
      <c r="E49" s="32">
        <v>-1.9</v>
      </c>
      <c r="F49" s="32">
        <v>1</v>
      </c>
      <c r="G49" s="126">
        <f t="shared" si="6"/>
        <v>9.9224999999999994</v>
      </c>
      <c r="H49" s="126">
        <f t="shared" si="7"/>
        <v>3.61</v>
      </c>
      <c r="I49" s="127">
        <f t="shared" si="8"/>
        <v>5.9849999999999994</v>
      </c>
      <c r="J49" s="128">
        <f t="shared" si="9"/>
        <v>198.15120000000002</v>
      </c>
      <c r="K49" s="128">
        <f t="shared" si="10"/>
        <v>0</v>
      </c>
      <c r="L49" s="128">
        <f t="shared" si="11"/>
        <v>0</v>
      </c>
      <c r="M49" s="129">
        <f t="shared" si="12"/>
        <v>198.15120000000002</v>
      </c>
      <c r="N49" s="130">
        <f t="shared" si="13"/>
        <v>-3.1500000000000004</v>
      </c>
      <c r="O49" s="130">
        <f t="shared" si="14"/>
        <v>-1.9</v>
      </c>
      <c r="P49" s="130">
        <f t="shared" si="15"/>
        <v>9.922500000000003</v>
      </c>
      <c r="Q49" s="130">
        <f t="shared" si="16"/>
        <v>3.61</v>
      </c>
      <c r="R49" s="130">
        <f t="shared" si="17"/>
        <v>5.9850000000000003</v>
      </c>
      <c r="S49" s="131"/>
      <c r="T49" s="124"/>
    </row>
    <row r="50" spans="2:20" s="121" customFormat="1" x14ac:dyDescent="0.2">
      <c r="B50" s="101">
        <f t="shared" si="18"/>
        <v>198.15120000000002</v>
      </c>
      <c r="C50" s="5">
        <f>MAX($C$46:C49)+1</f>
        <v>5</v>
      </c>
      <c r="D50" s="32">
        <v>-1.9</v>
      </c>
      <c r="E50" s="32">
        <v>1.9</v>
      </c>
      <c r="F50" s="32">
        <v>1</v>
      </c>
      <c r="G50" s="126">
        <f t="shared" si="6"/>
        <v>3.61</v>
      </c>
      <c r="H50" s="126">
        <f t="shared" si="7"/>
        <v>3.61</v>
      </c>
      <c r="I50" s="127">
        <f t="shared" si="8"/>
        <v>-3.61</v>
      </c>
      <c r="J50" s="128">
        <f t="shared" si="9"/>
        <v>198.15120000000002</v>
      </c>
      <c r="K50" s="128">
        <f t="shared" si="10"/>
        <v>0</v>
      </c>
      <c r="L50" s="128">
        <f t="shared" si="11"/>
        <v>0</v>
      </c>
      <c r="M50" s="129">
        <f t="shared" si="12"/>
        <v>198.15120000000002</v>
      </c>
      <c r="N50" s="130">
        <f t="shared" si="13"/>
        <v>-1.9000000000000004</v>
      </c>
      <c r="O50" s="130">
        <f t="shared" si="14"/>
        <v>1.9</v>
      </c>
      <c r="P50" s="130">
        <f t="shared" si="15"/>
        <v>3.6100000000000012</v>
      </c>
      <c r="Q50" s="130">
        <f t="shared" si="16"/>
        <v>3.61</v>
      </c>
      <c r="R50" s="130">
        <f t="shared" si="17"/>
        <v>-3.6100000000000003</v>
      </c>
      <c r="S50" s="131"/>
      <c r="T50" s="124"/>
    </row>
    <row r="51" spans="2:20" s="121" customFormat="1" x14ac:dyDescent="0.2">
      <c r="B51" s="101">
        <f t="shared" si="18"/>
        <v>198.15120000000002</v>
      </c>
      <c r="C51" s="5">
        <f>MAX($C$46:C50)+1</f>
        <v>6</v>
      </c>
      <c r="D51" s="32">
        <v>-1.9</v>
      </c>
      <c r="E51" s="32">
        <v>0.65</v>
      </c>
      <c r="F51" s="32">
        <v>1</v>
      </c>
      <c r="G51" s="126">
        <f t="shared" si="6"/>
        <v>3.61</v>
      </c>
      <c r="H51" s="126">
        <f t="shared" si="7"/>
        <v>0.42250000000000004</v>
      </c>
      <c r="I51" s="127">
        <f t="shared" si="8"/>
        <v>-1.2349999999999999</v>
      </c>
      <c r="J51" s="128">
        <f t="shared" si="9"/>
        <v>198.15120000000002</v>
      </c>
      <c r="K51" s="128">
        <f t="shared" si="10"/>
        <v>0</v>
      </c>
      <c r="L51" s="128">
        <f t="shared" si="11"/>
        <v>0</v>
      </c>
      <c r="M51" s="129">
        <f t="shared" si="12"/>
        <v>198.15120000000002</v>
      </c>
      <c r="N51" s="130">
        <f t="shared" si="13"/>
        <v>-1.9000000000000004</v>
      </c>
      <c r="O51" s="130">
        <f t="shared" si="14"/>
        <v>0.65</v>
      </c>
      <c r="P51" s="130">
        <f t="shared" si="15"/>
        <v>3.6100000000000012</v>
      </c>
      <c r="Q51" s="130">
        <f t="shared" si="16"/>
        <v>0.42250000000000004</v>
      </c>
      <c r="R51" s="130">
        <f t="shared" si="17"/>
        <v>-1.2350000000000003</v>
      </c>
      <c r="S51" s="131"/>
      <c r="T51" s="124"/>
    </row>
    <row r="52" spans="2:20" s="121" customFormat="1" x14ac:dyDescent="0.2">
      <c r="B52" s="101">
        <f t="shared" si="18"/>
        <v>198.15120000000002</v>
      </c>
      <c r="C52" s="5">
        <f>MAX($C$46:C51)+1</f>
        <v>7</v>
      </c>
      <c r="D52" s="32">
        <v>-1.9</v>
      </c>
      <c r="E52" s="32">
        <v>-0.65</v>
      </c>
      <c r="F52" s="32">
        <v>1</v>
      </c>
      <c r="G52" s="126">
        <f t="shared" si="6"/>
        <v>3.61</v>
      </c>
      <c r="H52" s="126">
        <f t="shared" si="7"/>
        <v>0.42250000000000004</v>
      </c>
      <c r="I52" s="127">
        <f t="shared" si="8"/>
        <v>1.2349999999999999</v>
      </c>
      <c r="J52" s="128">
        <f t="shared" si="9"/>
        <v>198.15120000000002</v>
      </c>
      <c r="K52" s="128">
        <f t="shared" si="10"/>
        <v>0</v>
      </c>
      <c r="L52" s="128">
        <f t="shared" si="11"/>
        <v>0</v>
      </c>
      <c r="M52" s="129">
        <f t="shared" si="12"/>
        <v>198.15120000000002</v>
      </c>
      <c r="N52" s="130">
        <f t="shared" si="13"/>
        <v>-1.9000000000000004</v>
      </c>
      <c r="O52" s="130">
        <f t="shared" si="14"/>
        <v>-0.65</v>
      </c>
      <c r="P52" s="130">
        <f t="shared" si="15"/>
        <v>3.6100000000000012</v>
      </c>
      <c r="Q52" s="130">
        <f t="shared" si="16"/>
        <v>0.42250000000000004</v>
      </c>
      <c r="R52" s="130">
        <f t="shared" si="17"/>
        <v>1.2350000000000003</v>
      </c>
      <c r="S52" s="131"/>
      <c r="T52" s="124"/>
    </row>
    <row r="53" spans="2:20" s="121" customFormat="1" x14ac:dyDescent="0.2">
      <c r="B53" s="101">
        <f t="shared" si="18"/>
        <v>198.15120000000002</v>
      </c>
      <c r="C53" s="5">
        <f>MAX($C$46:C52)+1</f>
        <v>8</v>
      </c>
      <c r="D53" s="32">
        <v>-1.9</v>
      </c>
      <c r="E53" s="32">
        <v>-1.9</v>
      </c>
      <c r="F53" s="32">
        <v>1</v>
      </c>
      <c r="G53" s="126">
        <f t="shared" si="6"/>
        <v>3.61</v>
      </c>
      <c r="H53" s="126">
        <f t="shared" si="7"/>
        <v>3.61</v>
      </c>
      <c r="I53" s="127">
        <f t="shared" si="8"/>
        <v>3.61</v>
      </c>
      <c r="J53" s="128">
        <f t="shared" si="9"/>
        <v>198.15120000000002</v>
      </c>
      <c r="K53" s="128">
        <f t="shared" si="10"/>
        <v>0</v>
      </c>
      <c r="L53" s="128">
        <f t="shared" si="11"/>
        <v>0</v>
      </c>
      <c r="M53" s="129">
        <f t="shared" si="12"/>
        <v>198.15120000000002</v>
      </c>
      <c r="N53" s="130">
        <f t="shared" si="13"/>
        <v>-1.9000000000000004</v>
      </c>
      <c r="O53" s="130">
        <f t="shared" si="14"/>
        <v>-1.9</v>
      </c>
      <c r="P53" s="130">
        <f t="shared" si="15"/>
        <v>3.6100000000000012</v>
      </c>
      <c r="Q53" s="130">
        <f t="shared" si="16"/>
        <v>3.61</v>
      </c>
      <c r="R53" s="130">
        <f t="shared" si="17"/>
        <v>3.6100000000000003</v>
      </c>
      <c r="S53" s="131"/>
      <c r="T53" s="124"/>
    </row>
    <row r="54" spans="2:20" s="121" customFormat="1" x14ac:dyDescent="0.2">
      <c r="B54" s="101">
        <f t="shared" si="18"/>
        <v>198.15120000000002</v>
      </c>
      <c r="C54" s="5">
        <f>MAX($C$46:C53)+1</f>
        <v>9</v>
      </c>
      <c r="D54" s="32">
        <v>-0.65</v>
      </c>
      <c r="E54" s="32">
        <v>1.9</v>
      </c>
      <c r="F54" s="32">
        <v>1</v>
      </c>
      <c r="G54" s="126">
        <f t="shared" si="6"/>
        <v>0.42250000000000004</v>
      </c>
      <c r="H54" s="126">
        <f t="shared" si="7"/>
        <v>3.61</v>
      </c>
      <c r="I54" s="127">
        <f t="shared" si="8"/>
        <v>-1.2349999999999999</v>
      </c>
      <c r="J54" s="128">
        <f t="shared" si="9"/>
        <v>198.15120000000002</v>
      </c>
      <c r="K54" s="128">
        <f t="shared" si="10"/>
        <v>0</v>
      </c>
      <c r="L54" s="128">
        <f t="shared" si="11"/>
        <v>0</v>
      </c>
      <c r="M54" s="129">
        <f t="shared" si="12"/>
        <v>198.15120000000002</v>
      </c>
      <c r="N54" s="130">
        <f t="shared" si="13"/>
        <v>-0.65000000000000036</v>
      </c>
      <c r="O54" s="130">
        <f t="shared" si="14"/>
        <v>1.9</v>
      </c>
      <c r="P54" s="130">
        <f t="shared" si="15"/>
        <v>0.42250000000000049</v>
      </c>
      <c r="Q54" s="130">
        <f t="shared" si="16"/>
        <v>3.61</v>
      </c>
      <c r="R54" s="130">
        <f t="shared" si="17"/>
        <v>-1.2350000000000005</v>
      </c>
      <c r="S54" s="131"/>
      <c r="T54" s="124"/>
    </row>
    <row r="55" spans="2:20" s="121" customFormat="1" x14ac:dyDescent="0.2">
      <c r="B55" s="101">
        <f t="shared" si="18"/>
        <v>198.15120000000002</v>
      </c>
      <c r="C55" s="5">
        <f>MAX($C$46:C54)+1</f>
        <v>10</v>
      </c>
      <c r="D55" s="32">
        <v>-0.65</v>
      </c>
      <c r="E55" s="32">
        <v>-1.9</v>
      </c>
      <c r="F55" s="32">
        <v>1</v>
      </c>
      <c r="G55" s="126">
        <f t="shared" si="6"/>
        <v>0.42250000000000004</v>
      </c>
      <c r="H55" s="126">
        <f t="shared" si="7"/>
        <v>3.61</v>
      </c>
      <c r="I55" s="127">
        <f t="shared" si="8"/>
        <v>1.2349999999999999</v>
      </c>
      <c r="J55" s="128">
        <f t="shared" si="9"/>
        <v>198.15120000000002</v>
      </c>
      <c r="K55" s="128">
        <f t="shared" si="10"/>
        <v>0</v>
      </c>
      <c r="L55" s="128">
        <f t="shared" si="11"/>
        <v>0</v>
      </c>
      <c r="M55" s="129">
        <f t="shared" si="12"/>
        <v>198.15120000000002</v>
      </c>
      <c r="N55" s="130">
        <f t="shared" si="13"/>
        <v>-0.65000000000000036</v>
      </c>
      <c r="O55" s="130">
        <f t="shared" si="14"/>
        <v>-1.9</v>
      </c>
      <c r="P55" s="130">
        <f t="shared" si="15"/>
        <v>0.42250000000000049</v>
      </c>
      <c r="Q55" s="130">
        <f t="shared" si="16"/>
        <v>3.61</v>
      </c>
      <c r="R55" s="130">
        <f t="shared" si="17"/>
        <v>1.2350000000000005</v>
      </c>
      <c r="S55" s="131"/>
      <c r="T55" s="124"/>
    </row>
    <row r="56" spans="2:20" s="121" customFormat="1" x14ac:dyDescent="0.2">
      <c r="B56" s="101">
        <f t="shared" si="18"/>
        <v>198.15120000000002</v>
      </c>
      <c r="C56" s="5">
        <f>MAX($C$46:C55)+1</f>
        <v>11</v>
      </c>
      <c r="D56" s="32">
        <v>-0.65</v>
      </c>
      <c r="E56" s="32">
        <v>0.65</v>
      </c>
      <c r="F56" s="32">
        <v>1</v>
      </c>
      <c r="G56" s="126">
        <f t="shared" si="6"/>
        <v>0.42250000000000004</v>
      </c>
      <c r="H56" s="126">
        <f t="shared" si="7"/>
        <v>0.42250000000000004</v>
      </c>
      <c r="I56" s="127">
        <f t="shared" si="8"/>
        <v>-0.42250000000000004</v>
      </c>
      <c r="J56" s="128">
        <f t="shared" si="9"/>
        <v>198.15120000000002</v>
      </c>
      <c r="K56" s="128">
        <f t="shared" si="10"/>
        <v>0</v>
      </c>
      <c r="L56" s="128">
        <f t="shared" si="11"/>
        <v>0</v>
      </c>
      <c r="M56" s="129">
        <f t="shared" si="12"/>
        <v>198.15120000000002</v>
      </c>
      <c r="N56" s="130">
        <f t="shared" si="13"/>
        <v>-0.65000000000000036</v>
      </c>
      <c r="O56" s="130">
        <f t="shared" si="14"/>
        <v>0.65</v>
      </c>
      <c r="P56" s="130">
        <f t="shared" si="15"/>
        <v>0.42250000000000049</v>
      </c>
      <c r="Q56" s="130">
        <f t="shared" si="16"/>
        <v>0.42250000000000004</v>
      </c>
      <c r="R56" s="130">
        <f t="shared" si="17"/>
        <v>-0.42250000000000026</v>
      </c>
      <c r="S56" s="131"/>
      <c r="T56" s="124"/>
    </row>
    <row r="57" spans="2:20" s="121" customFormat="1" x14ac:dyDescent="0.2">
      <c r="B57" s="101">
        <f t="shared" si="18"/>
        <v>198.15120000000002</v>
      </c>
      <c r="C57" s="5">
        <f>MAX($C$46:C56)+1</f>
        <v>12</v>
      </c>
      <c r="D57" s="32">
        <v>-0.65</v>
      </c>
      <c r="E57" s="32">
        <v>-0.65</v>
      </c>
      <c r="F57" s="32">
        <v>1</v>
      </c>
      <c r="G57" s="126">
        <f t="shared" si="6"/>
        <v>0.42250000000000004</v>
      </c>
      <c r="H57" s="126">
        <f t="shared" si="7"/>
        <v>0.42250000000000004</v>
      </c>
      <c r="I57" s="127">
        <f t="shared" si="8"/>
        <v>0.42250000000000004</v>
      </c>
      <c r="J57" s="128">
        <f t="shared" si="9"/>
        <v>198.15120000000002</v>
      </c>
      <c r="K57" s="128">
        <f t="shared" si="10"/>
        <v>0</v>
      </c>
      <c r="L57" s="128">
        <f t="shared" si="11"/>
        <v>0</v>
      </c>
      <c r="M57" s="129">
        <f t="shared" si="12"/>
        <v>198.15120000000002</v>
      </c>
      <c r="N57" s="130">
        <f t="shared" si="13"/>
        <v>-0.65000000000000036</v>
      </c>
      <c r="O57" s="130">
        <f t="shared" si="14"/>
        <v>-0.65</v>
      </c>
      <c r="P57" s="130">
        <f t="shared" si="15"/>
        <v>0.42250000000000049</v>
      </c>
      <c r="Q57" s="130">
        <f t="shared" si="16"/>
        <v>0.42250000000000004</v>
      </c>
      <c r="R57" s="130">
        <f t="shared" si="17"/>
        <v>0.42250000000000026</v>
      </c>
      <c r="S57" s="131"/>
      <c r="T57" s="124"/>
    </row>
    <row r="58" spans="2:20" s="121" customFormat="1" x14ac:dyDescent="0.2">
      <c r="B58" s="101">
        <f t="shared" si="18"/>
        <v>198.15120000000002</v>
      </c>
      <c r="C58" s="5">
        <f>MAX($C$46:C57)+1</f>
        <v>13</v>
      </c>
      <c r="D58" s="32">
        <v>3.15</v>
      </c>
      <c r="E58" s="32">
        <v>1.9</v>
      </c>
      <c r="F58" s="32">
        <v>1</v>
      </c>
      <c r="G58" s="126">
        <f t="shared" si="6"/>
        <v>9.9224999999999994</v>
      </c>
      <c r="H58" s="126">
        <f t="shared" si="7"/>
        <v>3.61</v>
      </c>
      <c r="I58" s="127">
        <f t="shared" si="8"/>
        <v>5.9849999999999994</v>
      </c>
      <c r="J58" s="128">
        <f t="shared" si="9"/>
        <v>198.15120000000002</v>
      </c>
      <c r="K58" s="128">
        <f t="shared" si="10"/>
        <v>0</v>
      </c>
      <c r="L58" s="128">
        <f t="shared" si="11"/>
        <v>0</v>
      </c>
      <c r="M58" s="129">
        <f t="shared" si="12"/>
        <v>198.15120000000002</v>
      </c>
      <c r="N58" s="130">
        <f t="shared" si="13"/>
        <v>3.1499999999999995</v>
      </c>
      <c r="O58" s="130">
        <f t="shared" si="14"/>
        <v>1.9</v>
      </c>
      <c r="P58" s="130">
        <f t="shared" si="15"/>
        <v>9.9224999999999959</v>
      </c>
      <c r="Q58" s="130">
        <f t="shared" si="16"/>
        <v>3.61</v>
      </c>
      <c r="R58" s="130">
        <f t="shared" si="17"/>
        <v>5.9849999999999985</v>
      </c>
      <c r="S58" s="131"/>
      <c r="T58" s="124"/>
    </row>
    <row r="59" spans="2:20" s="121" customFormat="1" x14ac:dyDescent="0.2">
      <c r="B59" s="101">
        <f t="shared" si="18"/>
        <v>198.15120000000002</v>
      </c>
      <c r="C59" s="5">
        <f>MAX($C$46:C58)+1</f>
        <v>14</v>
      </c>
      <c r="D59" s="32">
        <v>3.15</v>
      </c>
      <c r="E59" s="32">
        <v>0.65</v>
      </c>
      <c r="F59" s="32">
        <v>1</v>
      </c>
      <c r="G59" s="126">
        <f t="shared" si="6"/>
        <v>9.9224999999999994</v>
      </c>
      <c r="H59" s="126">
        <f t="shared" si="7"/>
        <v>0.42250000000000004</v>
      </c>
      <c r="I59" s="127">
        <f t="shared" si="8"/>
        <v>2.0474999999999999</v>
      </c>
      <c r="J59" s="128">
        <f t="shared" si="9"/>
        <v>198.15120000000002</v>
      </c>
      <c r="K59" s="128">
        <f t="shared" si="10"/>
        <v>0</v>
      </c>
      <c r="L59" s="128">
        <f t="shared" si="11"/>
        <v>0</v>
      </c>
      <c r="M59" s="129">
        <f t="shared" si="12"/>
        <v>198.15120000000002</v>
      </c>
      <c r="N59" s="130">
        <f t="shared" si="13"/>
        <v>3.1499999999999995</v>
      </c>
      <c r="O59" s="130">
        <f t="shared" si="14"/>
        <v>0.65</v>
      </c>
      <c r="P59" s="130">
        <f t="shared" si="15"/>
        <v>9.9224999999999959</v>
      </c>
      <c r="Q59" s="130">
        <f t="shared" si="16"/>
        <v>0.42250000000000004</v>
      </c>
      <c r="R59" s="130">
        <f t="shared" si="17"/>
        <v>2.0474999999999999</v>
      </c>
      <c r="S59" s="131"/>
      <c r="T59" s="124"/>
    </row>
    <row r="60" spans="2:20" s="121" customFormat="1" x14ac:dyDescent="0.2">
      <c r="B60" s="101">
        <f t="shared" si="18"/>
        <v>198.15120000000002</v>
      </c>
      <c r="C60" s="5">
        <f>MAX($C$46:C59)+1</f>
        <v>15</v>
      </c>
      <c r="D60" s="32">
        <v>3.15</v>
      </c>
      <c r="E60" s="32">
        <v>-0.65</v>
      </c>
      <c r="F60" s="32">
        <v>1</v>
      </c>
      <c r="G60" s="126">
        <f t="shared" si="6"/>
        <v>9.9224999999999994</v>
      </c>
      <c r="H60" s="126">
        <f t="shared" si="7"/>
        <v>0.42250000000000004</v>
      </c>
      <c r="I60" s="127">
        <f t="shared" si="8"/>
        <v>-2.0474999999999999</v>
      </c>
      <c r="J60" s="128">
        <f t="shared" si="9"/>
        <v>198.15120000000002</v>
      </c>
      <c r="K60" s="128">
        <f t="shared" si="10"/>
        <v>0</v>
      </c>
      <c r="L60" s="128">
        <f t="shared" si="11"/>
        <v>0</v>
      </c>
      <c r="M60" s="129">
        <f t="shared" si="12"/>
        <v>198.15120000000002</v>
      </c>
      <c r="N60" s="130">
        <f t="shared" si="13"/>
        <v>3.1499999999999995</v>
      </c>
      <c r="O60" s="130">
        <f t="shared" si="14"/>
        <v>-0.65</v>
      </c>
      <c r="P60" s="130">
        <f t="shared" si="15"/>
        <v>9.9224999999999959</v>
      </c>
      <c r="Q60" s="130">
        <f t="shared" si="16"/>
        <v>0.42250000000000004</v>
      </c>
      <c r="R60" s="130">
        <f t="shared" si="17"/>
        <v>-2.0474999999999999</v>
      </c>
      <c r="S60" s="131"/>
      <c r="T60" s="124"/>
    </row>
    <row r="61" spans="2:20" s="121" customFormat="1" ht="12.75" customHeight="1" x14ac:dyDescent="0.2">
      <c r="B61" s="101">
        <f t="shared" si="18"/>
        <v>198.15120000000002</v>
      </c>
      <c r="C61" s="5">
        <f>MAX($C$46:C60)+1</f>
        <v>16</v>
      </c>
      <c r="D61" s="32">
        <v>3.15</v>
      </c>
      <c r="E61" s="32">
        <v>-1.9</v>
      </c>
      <c r="F61" s="32">
        <v>1</v>
      </c>
      <c r="G61" s="126">
        <f t="shared" si="6"/>
        <v>9.9224999999999994</v>
      </c>
      <c r="H61" s="126">
        <f t="shared" si="7"/>
        <v>3.61</v>
      </c>
      <c r="I61" s="127">
        <f t="shared" si="8"/>
        <v>-5.9849999999999994</v>
      </c>
      <c r="J61" s="128">
        <f t="shared" si="9"/>
        <v>198.15120000000002</v>
      </c>
      <c r="K61" s="128">
        <f t="shared" si="10"/>
        <v>0</v>
      </c>
      <c r="L61" s="128">
        <f t="shared" si="11"/>
        <v>0</v>
      </c>
      <c r="M61" s="129">
        <f t="shared" si="12"/>
        <v>198.15120000000002</v>
      </c>
      <c r="N61" s="130">
        <f t="shared" si="13"/>
        <v>3.1499999999999995</v>
      </c>
      <c r="O61" s="130">
        <f t="shared" si="14"/>
        <v>-1.9</v>
      </c>
      <c r="P61" s="130">
        <f t="shared" si="15"/>
        <v>9.9224999999999959</v>
      </c>
      <c r="Q61" s="130">
        <f t="shared" si="16"/>
        <v>3.61</v>
      </c>
      <c r="R61" s="130">
        <f t="shared" si="17"/>
        <v>-5.9849999999999985</v>
      </c>
      <c r="S61" s="131"/>
      <c r="T61" s="124"/>
    </row>
    <row r="62" spans="2:20" s="121" customFormat="1" ht="12.75" customHeight="1" x14ac:dyDescent="0.2">
      <c r="B62" s="101">
        <f t="shared" si="18"/>
        <v>198.15120000000002</v>
      </c>
      <c r="C62" s="5">
        <f>MAX($C$46:C61)+1</f>
        <v>17</v>
      </c>
      <c r="D62" s="32">
        <v>1.9</v>
      </c>
      <c r="E62" s="32">
        <v>1.9</v>
      </c>
      <c r="F62" s="32">
        <v>1</v>
      </c>
      <c r="G62" s="126">
        <f t="shared" si="6"/>
        <v>3.61</v>
      </c>
      <c r="H62" s="126">
        <f t="shared" si="7"/>
        <v>3.61</v>
      </c>
      <c r="I62" s="127">
        <f t="shared" si="8"/>
        <v>3.61</v>
      </c>
      <c r="J62" s="128">
        <f t="shared" si="9"/>
        <v>198.15120000000002</v>
      </c>
      <c r="K62" s="128">
        <f t="shared" si="10"/>
        <v>0</v>
      </c>
      <c r="L62" s="128">
        <f t="shared" si="11"/>
        <v>0</v>
      </c>
      <c r="M62" s="129">
        <f t="shared" si="12"/>
        <v>198.15120000000002</v>
      </c>
      <c r="N62" s="130">
        <f t="shared" si="13"/>
        <v>1.8999999999999995</v>
      </c>
      <c r="O62" s="130">
        <f t="shared" si="14"/>
        <v>1.9</v>
      </c>
      <c r="P62" s="130">
        <f t="shared" si="15"/>
        <v>3.6099999999999981</v>
      </c>
      <c r="Q62" s="130">
        <f t="shared" si="16"/>
        <v>3.61</v>
      </c>
      <c r="R62" s="130">
        <f t="shared" si="17"/>
        <v>3.609999999999999</v>
      </c>
      <c r="S62" s="131"/>
      <c r="T62" s="124"/>
    </row>
    <row r="63" spans="2:20" s="121" customFormat="1" ht="12.75" customHeight="1" x14ac:dyDescent="0.2">
      <c r="B63" s="101">
        <f t="shared" si="18"/>
        <v>198.15120000000002</v>
      </c>
      <c r="C63" s="5">
        <f>MAX($C$46:C62)+1</f>
        <v>18</v>
      </c>
      <c r="D63" s="32">
        <v>1.9</v>
      </c>
      <c r="E63" s="32">
        <v>0.65</v>
      </c>
      <c r="F63" s="32">
        <v>1</v>
      </c>
      <c r="G63" s="126">
        <f t="shared" si="6"/>
        <v>3.61</v>
      </c>
      <c r="H63" s="126">
        <f t="shared" si="7"/>
        <v>0.42250000000000004</v>
      </c>
      <c r="I63" s="127">
        <f t="shared" si="8"/>
        <v>1.2349999999999999</v>
      </c>
      <c r="J63" s="128">
        <f t="shared" si="9"/>
        <v>198.15120000000002</v>
      </c>
      <c r="K63" s="128">
        <f t="shared" si="10"/>
        <v>0</v>
      </c>
      <c r="L63" s="128">
        <f t="shared" si="11"/>
        <v>0</v>
      </c>
      <c r="M63" s="129">
        <f t="shared" si="12"/>
        <v>198.15120000000002</v>
      </c>
      <c r="N63" s="130">
        <f t="shared" si="13"/>
        <v>1.8999999999999995</v>
      </c>
      <c r="O63" s="130">
        <f t="shared" si="14"/>
        <v>0.65</v>
      </c>
      <c r="P63" s="130">
        <f t="shared" si="15"/>
        <v>3.6099999999999981</v>
      </c>
      <c r="Q63" s="130">
        <f t="shared" si="16"/>
        <v>0.42250000000000004</v>
      </c>
      <c r="R63" s="130">
        <f t="shared" si="17"/>
        <v>1.2349999999999997</v>
      </c>
      <c r="S63" s="131"/>
      <c r="T63" s="124"/>
    </row>
    <row r="64" spans="2:20" s="121" customFormat="1" ht="12.75" customHeight="1" x14ac:dyDescent="0.2">
      <c r="B64" s="101">
        <f t="shared" si="18"/>
        <v>198.15120000000002</v>
      </c>
      <c r="C64" s="5">
        <f>MAX($C$46:C63)+1</f>
        <v>19</v>
      </c>
      <c r="D64" s="32">
        <v>1.9</v>
      </c>
      <c r="E64" s="32">
        <v>-0.65</v>
      </c>
      <c r="F64" s="32">
        <v>1</v>
      </c>
      <c r="G64" s="126">
        <f t="shared" si="6"/>
        <v>3.61</v>
      </c>
      <c r="H64" s="126">
        <f t="shared" si="7"/>
        <v>0.42250000000000004</v>
      </c>
      <c r="I64" s="127">
        <f t="shared" si="8"/>
        <v>-1.2349999999999999</v>
      </c>
      <c r="J64" s="128">
        <f t="shared" si="9"/>
        <v>198.15120000000002</v>
      </c>
      <c r="K64" s="128">
        <f t="shared" si="10"/>
        <v>0</v>
      </c>
      <c r="L64" s="128">
        <f t="shared" si="11"/>
        <v>0</v>
      </c>
      <c r="M64" s="129">
        <f t="shared" si="12"/>
        <v>198.15120000000002</v>
      </c>
      <c r="N64" s="130">
        <f t="shared" si="13"/>
        <v>1.8999999999999995</v>
      </c>
      <c r="O64" s="130">
        <f t="shared" si="14"/>
        <v>-0.65</v>
      </c>
      <c r="P64" s="130">
        <f t="shared" si="15"/>
        <v>3.6099999999999981</v>
      </c>
      <c r="Q64" s="130">
        <f t="shared" si="16"/>
        <v>0.42250000000000004</v>
      </c>
      <c r="R64" s="130">
        <f t="shared" si="17"/>
        <v>-1.2349999999999997</v>
      </c>
      <c r="S64" s="131"/>
      <c r="T64" s="124"/>
    </row>
    <row r="65" spans="2:20" s="121" customFormat="1" ht="12.75" customHeight="1" x14ac:dyDescent="0.2">
      <c r="B65" s="101">
        <f t="shared" si="18"/>
        <v>198.15120000000002</v>
      </c>
      <c r="C65" s="5">
        <f>MAX($C$46:C64)+1</f>
        <v>20</v>
      </c>
      <c r="D65" s="32">
        <v>1.9</v>
      </c>
      <c r="E65" s="32">
        <v>-1.9</v>
      </c>
      <c r="F65" s="32">
        <v>1</v>
      </c>
      <c r="G65" s="126">
        <f t="shared" si="6"/>
        <v>3.61</v>
      </c>
      <c r="H65" s="126">
        <f t="shared" si="7"/>
        <v>3.61</v>
      </c>
      <c r="I65" s="127">
        <f t="shared" si="8"/>
        <v>-3.61</v>
      </c>
      <c r="J65" s="128">
        <f t="shared" si="9"/>
        <v>198.15120000000002</v>
      </c>
      <c r="K65" s="128">
        <f t="shared" si="10"/>
        <v>0</v>
      </c>
      <c r="L65" s="128">
        <f t="shared" si="11"/>
        <v>0</v>
      </c>
      <c r="M65" s="129">
        <f t="shared" si="12"/>
        <v>198.15120000000002</v>
      </c>
      <c r="N65" s="130">
        <f t="shared" si="13"/>
        <v>1.8999999999999995</v>
      </c>
      <c r="O65" s="130">
        <f t="shared" si="14"/>
        <v>-1.9</v>
      </c>
      <c r="P65" s="130">
        <f t="shared" si="15"/>
        <v>3.6099999999999981</v>
      </c>
      <c r="Q65" s="130">
        <f t="shared" si="16"/>
        <v>3.61</v>
      </c>
      <c r="R65" s="130">
        <f t="shared" si="17"/>
        <v>-3.609999999999999</v>
      </c>
      <c r="S65" s="131"/>
      <c r="T65" s="124"/>
    </row>
    <row r="66" spans="2:20" s="121" customFormat="1" ht="12.75" customHeight="1" x14ac:dyDescent="0.2">
      <c r="B66" s="101">
        <f t="shared" si="18"/>
        <v>198.15120000000002</v>
      </c>
      <c r="C66" s="5">
        <f>MAX($C$46:C65)+1</f>
        <v>21</v>
      </c>
      <c r="D66" s="32">
        <v>0.65</v>
      </c>
      <c r="E66" s="32">
        <v>1.9</v>
      </c>
      <c r="F66" s="32">
        <v>1</v>
      </c>
      <c r="G66" s="126">
        <f t="shared" si="6"/>
        <v>0.42250000000000004</v>
      </c>
      <c r="H66" s="126">
        <f t="shared" si="7"/>
        <v>3.61</v>
      </c>
      <c r="I66" s="127">
        <f t="shared" si="8"/>
        <v>1.2349999999999999</v>
      </c>
      <c r="J66" s="128">
        <f t="shared" si="9"/>
        <v>198.15120000000002</v>
      </c>
      <c r="K66" s="128">
        <f t="shared" si="10"/>
        <v>0</v>
      </c>
      <c r="L66" s="128">
        <f t="shared" si="11"/>
        <v>0</v>
      </c>
      <c r="M66" s="129">
        <f t="shared" si="12"/>
        <v>198.15120000000002</v>
      </c>
      <c r="N66" s="130">
        <f t="shared" si="13"/>
        <v>0.64999999999999969</v>
      </c>
      <c r="O66" s="130">
        <f t="shared" si="14"/>
        <v>1.9</v>
      </c>
      <c r="P66" s="130">
        <f t="shared" si="15"/>
        <v>0.4224999999999996</v>
      </c>
      <c r="Q66" s="130">
        <f t="shared" si="16"/>
        <v>3.61</v>
      </c>
      <c r="R66" s="130">
        <f t="shared" si="17"/>
        <v>1.2349999999999994</v>
      </c>
      <c r="S66" s="131"/>
      <c r="T66" s="124"/>
    </row>
    <row r="67" spans="2:20" s="121" customFormat="1" ht="12.75" customHeight="1" x14ac:dyDescent="0.2">
      <c r="B67" s="101">
        <f t="shared" si="18"/>
        <v>198.15120000000002</v>
      </c>
      <c r="C67" s="5">
        <f>MAX($C$46:C66)+1</f>
        <v>22</v>
      </c>
      <c r="D67" s="32">
        <v>0.65</v>
      </c>
      <c r="E67" s="32">
        <v>-1.9</v>
      </c>
      <c r="F67" s="32">
        <v>1</v>
      </c>
      <c r="G67" s="126">
        <f t="shared" si="6"/>
        <v>0.42250000000000004</v>
      </c>
      <c r="H67" s="126">
        <f t="shared" si="7"/>
        <v>3.61</v>
      </c>
      <c r="I67" s="127">
        <f t="shared" si="8"/>
        <v>-1.2349999999999999</v>
      </c>
      <c r="J67" s="128">
        <f t="shared" si="9"/>
        <v>198.15120000000002</v>
      </c>
      <c r="K67" s="128">
        <f t="shared" si="10"/>
        <v>0</v>
      </c>
      <c r="L67" s="128">
        <f t="shared" si="11"/>
        <v>0</v>
      </c>
      <c r="M67" s="129">
        <f t="shared" si="12"/>
        <v>198.15120000000002</v>
      </c>
      <c r="N67" s="130">
        <f t="shared" si="13"/>
        <v>0.64999999999999969</v>
      </c>
      <c r="O67" s="130">
        <f t="shared" si="14"/>
        <v>-1.9</v>
      </c>
      <c r="P67" s="130">
        <f t="shared" si="15"/>
        <v>0.4224999999999996</v>
      </c>
      <c r="Q67" s="130">
        <f t="shared" si="16"/>
        <v>3.61</v>
      </c>
      <c r="R67" s="130">
        <f t="shared" si="17"/>
        <v>-1.2349999999999994</v>
      </c>
      <c r="S67" s="131"/>
      <c r="T67" s="124"/>
    </row>
    <row r="68" spans="2:20" s="121" customFormat="1" ht="12.75" customHeight="1" x14ac:dyDescent="0.2">
      <c r="B68" s="101">
        <f t="shared" si="18"/>
        <v>198.15120000000002</v>
      </c>
      <c r="C68" s="5">
        <f>MAX($C$46:C67)+1</f>
        <v>23</v>
      </c>
      <c r="D68" s="32">
        <v>0.65</v>
      </c>
      <c r="E68" s="32">
        <v>0.65</v>
      </c>
      <c r="F68" s="32">
        <v>1</v>
      </c>
      <c r="G68" s="126">
        <f t="shared" si="6"/>
        <v>0.42250000000000004</v>
      </c>
      <c r="H68" s="126">
        <f t="shared" si="7"/>
        <v>0.42250000000000004</v>
      </c>
      <c r="I68" s="127">
        <f t="shared" si="8"/>
        <v>0.42250000000000004</v>
      </c>
      <c r="J68" s="128">
        <f t="shared" si="9"/>
        <v>198.15120000000002</v>
      </c>
      <c r="K68" s="128">
        <f t="shared" si="10"/>
        <v>0</v>
      </c>
      <c r="L68" s="128">
        <f t="shared" si="11"/>
        <v>0</v>
      </c>
      <c r="M68" s="129">
        <f t="shared" si="12"/>
        <v>198.15120000000002</v>
      </c>
      <c r="N68" s="130">
        <f t="shared" si="13"/>
        <v>0.64999999999999969</v>
      </c>
      <c r="O68" s="130">
        <f t="shared" si="14"/>
        <v>0.65</v>
      </c>
      <c r="P68" s="130">
        <f t="shared" si="15"/>
        <v>0.4224999999999996</v>
      </c>
      <c r="Q68" s="130">
        <f t="shared" si="16"/>
        <v>0.42250000000000004</v>
      </c>
      <c r="R68" s="130">
        <f t="shared" si="17"/>
        <v>0.42249999999999982</v>
      </c>
      <c r="S68" s="131"/>
      <c r="T68" s="124"/>
    </row>
    <row r="69" spans="2:20" s="121" customFormat="1" ht="12.75" customHeight="1" x14ac:dyDescent="0.2">
      <c r="B69" s="101">
        <f t="shared" si="18"/>
        <v>198.15120000000002</v>
      </c>
      <c r="C69" s="5">
        <f>MAX($C$46:C68)+1</f>
        <v>24</v>
      </c>
      <c r="D69" s="32">
        <v>0.65</v>
      </c>
      <c r="E69" s="32">
        <v>-0.65</v>
      </c>
      <c r="F69" s="32">
        <v>1</v>
      </c>
      <c r="G69" s="126">
        <f t="shared" si="6"/>
        <v>0.42250000000000004</v>
      </c>
      <c r="H69" s="126">
        <f t="shared" si="7"/>
        <v>0.42250000000000004</v>
      </c>
      <c r="I69" s="127">
        <f t="shared" si="8"/>
        <v>-0.42250000000000004</v>
      </c>
      <c r="J69" s="128">
        <f t="shared" si="9"/>
        <v>198.15120000000002</v>
      </c>
      <c r="K69" s="128">
        <f t="shared" si="10"/>
        <v>0</v>
      </c>
      <c r="L69" s="128">
        <f t="shared" si="11"/>
        <v>0</v>
      </c>
      <c r="M69" s="129">
        <f t="shared" si="12"/>
        <v>198.15120000000002</v>
      </c>
      <c r="N69" s="130">
        <f t="shared" si="13"/>
        <v>0.64999999999999969</v>
      </c>
      <c r="O69" s="130">
        <f t="shared" si="14"/>
        <v>-0.65</v>
      </c>
      <c r="P69" s="130">
        <f t="shared" si="15"/>
        <v>0.4224999999999996</v>
      </c>
      <c r="Q69" s="130">
        <f t="shared" si="16"/>
        <v>0.42250000000000004</v>
      </c>
      <c r="R69" s="130">
        <f t="shared" si="17"/>
        <v>-0.42249999999999982</v>
      </c>
      <c r="S69" s="131"/>
      <c r="T69" s="124"/>
    </row>
    <row r="70" spans="2:20" s="121" customFormat="1" ht="12.75" hidden="1" customHeight="1" x14ac:dyDescent="0.2">
      <c r="B70" s="101">
        <f t="shared" si="18"/>
        <v>0</v>
      </c>
      <c r="C70" s="125"/>
      <c r="D70" s="132"/>
      <c r="E70" s="132"/>
      <c r="F70" s="132"/>
      <c r="G70" s="126"/>
      <c r="H70" s="126"/>
      <c r="I70" s="127"/>
      <c r="J70" s="128"/>
      <c r="K70" s="128"/>
      <c r="L70" s="128"/>
      <c r="M70" s="129"/>
      <c r="N70" s="130"/>
      <c r="O70" s="130"/>
      <c r="P70" s="130"/>
      <c r="Q70" s="130"/>
      <c r="R70" s="130"/>
      <c r="S70" s="131"/>
      <c r="T70" s="124"/>
    </row>
    <row r="71" spans="2:20" s="121" customFormat="1" ht="12.75" hidden="1" customHeight="1" x14ac:dyDescent="0.2">
      <c r="B71" s="101">
        <f t="shared" si="18"/>
        <v>0</v>
      </c>
      <c r="C71" s="125"/>
      <c r="D71" s="132"/>
      <c r="E71" s="132"/>
      <c r="F71" s="132"/>
      <c r="G71" s="126"/>
      <c r="H71" s="126"/>
      <c r="I71" s="127"/>
      <c r="J71" s="128"/>
      <c r="K71" s="128"/>
      <c r="L71" s="128"/>
      <c r="M71" s="129"/>
      <c r="N71" s="130"/>
      <c r="O71" s="130"/>
      <c r="P71" s="130"/>
      <c r="Q71" s="130"/>
      <c r="R71" s="130"/>
      <c r="S71" s="131"/>
      <c r="T71" s="124"/>
    </row>
    <row r="72" spans="2:20" s="121" customFormat="1" ht="12.75" hidden="1" customHeight="1" x14ac:dyDescent="0.2">
      <c r="B72" s="101">
        <f t="shared" si="18"/>
        <v>0</v>
      </c>
      <c r="C72" s="125"/>
      <c r="D72" s="132"/>
      <c r="E72" s="132"/>
      <c r="F72" s="132"/>
      <c r="G72" s="126"/>
      <c r="H72" s="126"/>
      <c r="I72" s="127"/>
      <c r="J72" s="128"/>
      <c r="K72" s="128"/>
      <c r="L72" s="128"/>
      <c r="M72" s="129"/>
      <c r="N72" s="130"/>
      <c r="O72" s="130"/>
      <c r="P72" s="130"/>
      <c r="Q72" s="130"/>
      <c r="R72" s="130"/>
      <c r="S72" s="131"/>
      <c r="T72" s="124"/>
    </row>
    <row r="73" spans="2:20" s="121" customFormat="1" ht="12.75" hidden="1" customHeight="1" x14ac:dyDescent="0.2">
      <c r="B73" s="101">
        <f t="shared" si="18"/>
        <v>0</v>
      </c>
      <c r="C73" s="125"/>
      <c r="D73" s="132"/>
      <c r="E73" s="132"/>
      <c r="F73" s="132"/>
      <c r="G73" s="126"/>
      <c r="H73" s="126"/>
      <c r="I73" s="127"/>
      <c r="J73" s="128"/>
      <c r="K73" s="128"/>
      <c r="L73" s="128"/>
      <c r="M73" s="129"/>
      <c r="N73" s="130"/>
      <c r="O73" s="130"/>
      <c r="P73" s="130"/>
      <c r="Q73" s="130"/>
      <c r="R73" s="130"/>
      <c r="S73" s="131"/>
      <c r="T73" s="124"/>
    </row>
    <row r="74" spans="2:20" s="121" customFormat="1" ht="12.75" hidden="1" customHeight="1" x14ac:dyDescent="0.2">
      <c r="B74" s="101">
        <f t="shared" si="18"/>
        <v>0</v>
      </c>
      <c r="C74" s="125"/>
      <c r="D74" s="132"/>
      <c r="E74" s="132"/>
      <c r="F74" s="132"/>
      <c r="G74" s="126"/>
      <c r="H74" s="126"/>
      <c r="I74" s="127"/>
      <c r="J74" s="128"/>
      <c r="K74" s="128"/>
      <c r="L74" s="128"/>
      <c r="M74" s="129"/>
      <c r="N74" s="130"/>
      <c r="O74" s="130"/>
      <c r="P74" s="130"/>
      <c r="Q74" s="130"/>
      <c r="R74" s="130"/>
      <c r="S74" s="131"/>
      <c r="T74" s="124"/>
    </row>
    <row r="75" spans="2:20" s="121" customFormat="1" ht="12.75" hidden="1" customHeight="1" x14ac:dyDescent="0.2">
      <c r="B75" s="101">
        <f t="shared" si="18"/>
        <v>0</v>
      </c>
      <c r="C75" s="125"/>
      <c r="D75" s="132"/>
      <c r="E75" s="132"/>
      <c r="F75" s="132"/>
      <c r="G75" s="126"/>
      <c r="H75" s="126"/>
      <c r="I75" s="127"/>
      <c r="J75" s="128"/>
      <c r="K75" s="128"/>
      <c r="L75" s="128"/>
      <c r="M75" s="129"/>
      <c r="N75" s="130"/>
      <c r="O75" s="130"/>
      <c r="P75" s="130"/>
      <c r="Q75" s="130"/>
      <c r="R75" s="130"/>
      <c r="S75" s="131"/>
      <c r="T75" s="124"/>
    </row>
    <row r="76" spans="2:20" s="121" customFormat="1" ht="12.75" hidden="1" customHeight="1" x14ac:dyDescent="0.2">
      <c r="B76" s="101">
        <f t="shared" si="18"/>
        <v>0</v>
      </c>
      <c r="C76" s="125"/>
      <c r="D76" s="132"/>
      <c r="E76" s="132"/>
      <c r="F76" s="132"/>
      <c r="G76" s="126"/>
      <c r="H76" s="126"/>
      <c r="I76" s="127"/>
      <c r="J76" s="128"/>
      <c r="K76" s="128"/>
      <c r="L76" s="128"/>
      <c r="M76" s="129"/>
      <c r="N76" s="130"/>
      <c r="O76" s="130"/>
      <c r="P76" s="130"/>
      <c r="Q76" s="130"/>
      <c r="R76" s="130"/>
      <c r="S76" s="131"/>
      <c r="T76" s="124"/>
    </row>
    <row r="77" spans="2:20" s="121" customFormat="1" ht="12.75" hidden="1" customHeight="1" x14ac:dyDescent="0.2">
      <c r="B77" s="101">
        <f t="shared" si="18"/>
        <v>0</v>
      </c>
      <c r="C77" s="125"/>
      <c r="D77" s="132"/>
      <c r="E77" s="132"/>
      <c r="F77" s="132"/>
      <c r="G77" s="126"/>
      <c r="H77" s="126"/>
      <c r="I77" s="127"/>
      <c r="J77" s="128"/>
      <c r="K77" s="128"/>
      <c r="L77" s="128"/>
      <c r="M77" s="129"/>
      <c r="N77" s="130"/>
      <c r="O77" s="130"/>
      <c r="P77" s="130"/>
      <c r="Q77" s="130"/>
      <c r="R77" s="130"/>
      <c r="S77" s="131"/>
      <c r="T77" s="124"/>
    </row>
    <row r="78" spans="2:20" s="121" customFormat="1" ht="12.75" hidden="1" customHeight="1" x14ac:dyDescent="0.2">
      <c r="B78" s="101">
        <f t="shared" si="18"/>
        <v>0</v>
      </c>
      <c r="C78" s="125"/>
      <c r="D78" s="132"/>
      <c r="E78" s="132"/>
      <c r="F78" s="132"/>
      <c r="G78" s="126"/>
      <c r="H78" s="126"/>
      <c r="I78" s="127"/>
      <c r="J78" s="128"/>
      <c r="K78" s="128"/>
      <c r="L78" s="128"/>
      <c r="M78" s="129"/>
      <c r="N78" s="130"/>
      <c r="O78" s="130"/>
      <c r="P78" s="130"/>
      <c r="Q78" s="130"/>
      <c r="R78" s="130"/>
      <c r="S78" s="131"/>
      <c r="T78" s="124"/>
    </row>
    <row r="79" spans="2:20" s="121" customFormat="1" ht="12.75" hidden="1" customHeight="1" x14ac:dyDescent="0.2">
      <c r="B79" s="101">
        <f t="shared" si="18"/>
        <v>0</v>
      </c>
      <c r="C79" s="125"/>
      <c r="D79" s="132"/>
      <c r="E79" s="132"/>
      <c r="F79" s="132"/>
      <c r="G79" s="126"/>
      <c r="H79" s="126"/>
      <c r="I79" s="127"/>
      <c r="J79" s="128"/>
      <c r="K79" s="128"/>
      <c r="L79" s="128"/>
      <c r="M79" s="129"/>
      <c r="N79" s="130"/>
      <c r="O79" s="130"/>
      <c r="P79" s="130"/>
      <c r="Q79" s="130"/>
      <c r="R79" s="130"/>
      <c r="S79" s="131"/>
      <c r="T79" s="124"/>
    </row>
    <row r="80" spans="2:20" s="121" customFormat="1" ht="12.75" hidden="1" customHeight="1" x14ac:dyDescent="0.2">
      <c r="B80" s="101">
        <f t="shared" si="18"/>
        <v>0</v>
      </c>
      <c r="C80" s="125"/>
      <c r="D80" s="132"/>
      <c r="E80" s="132"/>
      <c r="F80" s="132"/>
      <c r="G80" s="126"/>
      <c r="H80" s="126"/>
      <c r="I80" s="127"/>
      <c r="J80" s="128"/>
      <c r="K80" s="128"/>
      <c r="L80" s="128"/>
      <c r="M80" s="129"/>
      <c r="N80" s="130"/>
      <c r="O80" s="130"/>
      <c r="P80" s="130"/>
      <c r="Q80" s="130"/>
      <c r="R80" s="130"/>
      <c r="S80" s="131"/>
      <c r="T80" s="124"/>
    </row>
    <row r="81" spans="2:20" s="121" customFormat="1" ht="12.75" hidden="1" customHeight="1" x14ac:dyDescent="0.2">
      <c r="B81" s="101">
        <f t="shared" si="18"/>
        <v>0</v>
      </c>
      <c r="C81" s="125"/>
      <c r="D81" s="132"/>
      <c r="E81" s="132"/>
      <c r="F81" s="132"/>
      <c r="G81" s="126"/>
      <c r="H81" s="126"/>
      <c r="I81" s="127"/>
      <c r="J81" s="128"/>
      <c r="K81" s="128"/>
      <c r="L81" s="128"/>
      <c r="M81" s="129"/>
      <c r="N81" s="130"/>
      <c r="O81" s="130"/>
      <c r="P81" s="130"/>
      <c r="Q81" s="130"/>
      <c r="R81" s="130"/>
      <c r="S81" s="131"/>
      <c r="T81" s="124"/>
    </row>
    <row r="82" spans="2:20" s="121" customFormat="1" ht="12.75" hidden="1" customHeight="1" x14ac:dyDescent="0.2">
      <c r="B82" s="101">
        <f t="shared" si="18"/>
        <v>0</v>
      </c>
      <c r="C82" s="125"/>
      <c r="D82" s="132"/>
      <c r="E82" s="132"/>
      <c r="F82" s="132"/>
      <c r="G82" s="126"/>
      <c r="H82" s="126"/>
      <c r="I82" s="127"/>
      <c r="J82" s="128"/>
      <c r="K82" s="128"/>
      <c r="L82" s="128"/>
      <c r="M82" s="129"/>
      <c r="N82" s="130"/>
      <c r="O82" s="130"/>
      <c r="P82" s="130"/>
      <c r="Q82" s="130"/>
      <c r="R82" s="130"/>
      <c r="S82" s="131"/>
      <c r="T82" s="124"/>
    </row>
    <row r="83" spans="2:20" s="121" customFormat="1" ht="12.75" hidden="1" customHeight="1" x14ac:dyDescent="0.2">
      <c r="B83" s="101">
        <f t="shared" si="18"/>
        <v>0</v>
      </c>
      <c r="C83" s="125"/>
      <c r="D83" s="132"/>
      <c r="E83" s="132"/>
      <c r="F83" s="132"/>
      <c r="G83" s="126"/>
      <c r="H83" s="126"/>
      <c r="I83" s="127"/>
      <c r="J83" s="128"/>
      <c r="K83" s="128"/>
      <c r="L83" s="128"/>
      <c r="M83" s="129"/>
      <c r="N83" s="130"/>
      <c r="O83" s="130"/>
      <c r="P83" s="130"/>
      <c r="Q83" s="130"/>
      <c r="R83" s="130"/>
      <c r="S83" s="131"/>
      <c r="T83" s="124"/>
    </row>
    <row r="84" spans="2:20" s="121" customFormat="1" ht="12.75" hidden="1" customHeight="1" x14ac:dyDescent="0.2">
      <c r="B84" s="101">
        <f t="shared" si="18"/>
        <v>0</v>
      </c>
      <c r="C84" s="125"/>
      <c r="D84" s="132"/>
      <c r="E84" s="132"/>
      <c r="F84" s="132"/>
      <c r="G84" s="126"/>
      <c r="H84" s="126"/>
      <c r="I84" s="127"/>
      <c r="J84" s="128"/>
      <c r="K84" s="128"/>
      <c r="L84" s="128"/>
      <c r="M84" s="129"/>
      <c r="N84" s="130"/>
      <c r="O84" s="130"/>
      <c r="P84" s="130"/>
      <c r="Q84" s="130"/>
      <c r="R84" s="130"/>
      <c r="S84" s="131"/>
      <c r="T84" s="124"/>
    </row>
    <row r="85" spans="2:20" s="121" customFormat="1" ht="12.75" hidden="1" customHeight="1" x14ac:dyDescent="0.2">
      <c r="B85" s="101">
        <f t="shared" si="18"/>
        <v>0</v>
      </c>
      <c r="C85" s="125"/>
      <c r="D85" s="132"/>
      <c r="E85" s="132"/>
      <c r="F85" s="132"/>
      <c r="G85" s="126"/>
      <c r="H85" s="126"/>
      <c r="I85" s="127"/>
      <c r="J85" s="128"/>
      <c r="K85" s="128"/>
      <c r="L85" s="128"/>
      <c r="M85" s="129"/>
      <c r="N85" s="130"/>
      <c r="O85" s="130"/>
      <c r="P85" s="130"/>
      <c r="Q85" s="130"/>
      <c r="R85" s="130"/>
      <c r="S85" s="131"/>
      <c r="T85" s="124"/>
    </row>
    <row r="86" spans="2:20" s="121" customFormat="1" ht="12.75" hidden="1" customHeight="1" x14ac:dyDescent="0.2">
      <c r="B86" s="101">
        <f t="shared" si="18"/>
        <v>0</v>
      </c>
      <c r="C86" s="125"/>
      <c r="D86" s="132"/>
      <c r="E86" s="132"/>
      <c r="F86" s="132"/>
      <c r="G86" s="126"/>
      <c r="H86" s="126"/>
      <c r="I86" s="127"/>
      <c r="J86" s="128"/>
      <c r="K86" s="128"/>
      <c r="L86" s="128"/>
      <c r="M86" s="129"/>
      <c r="N86" s="130"/>
      <c r="O86" s="130"/>
      <c r="P86" s="130"/>
      <c r="Q86" s="130"/>
      <c r="R86" s="130"/>
      <c r="S86" s="131"/>
      <c r="T86" s="124"/>
    </row>
    <row r="87" spans="2:20" s="121" customFormat="1" ht="12.75" hidden="1" customHeight="1" x14ac:dyDescent="0.2">
      <c r="B87" s="101">
        <f t="shared" si="18"/>
        <v>0</v>
      </c>
      <c r="C87" s="125"/>
      <c r="D87" s="132"/>
      <c r="E87" s="132"/>
      <c r="F87" s="132"/>
      <c r="G87" s="126"/>
      <c r="H87" s="126"/>
      <c r="I87" s="127"/>
      <c r="J87" s="128"/>
      <c r="K87" s="128"/>
      <c r="L87" s="128"/>
      <c r="M87" s="129"/>
      <c r="N87" s="130"/>
      <c r="O87" s="130"/>
      <c r="P87" s="130"/>
      <c r="Q87" s="130"/>
      <c r="R87" s="130"/>
      <c r="S87" s="131"/>
      <c r="T87" s="124"/>
    </row>
    <row r="88" spans="2:20" s="121" customFormat="1" ht="12.75" hidden="1" customHeight="1" x14ac:dyDescent="0.2">
      <c r="B88" s="101">
        <f t="shared" si="18"/>
        <v>0</v>
      </c>
      <c r="C88" s="125"/>
      <c r="D88" s="132"/>
      <c r="E88" s="132"/>
      <c r="F88" s="132"/>
      <c r="G88" s="126"/>
      <c r="H88" s="126"/>
      <c r="I88" s="127"/>
      <c r="J88" s="128"/>
      <c r="K88" s="128"/>
      <c r="L88" s="128"/>
      <c r="M88" s="129"/>
      <c r="N88" s="130"/>
      <c r="O88" s="130"/>
      <c r="P88" s="130"/>
      <c r="Q88" s="130"/>
      <c r="R88" s="130"/>
      <c r="S88" s="131"/>
      <c r="T88" s="124"/>
    </row>
    <row r="89" spans="2:20" s="121" customFormat="1" ht="12.75" hidden="1" customHeight="1" x14ac:dyDescent="0.2">
      <c r="B89" s="101">
        <f t="shared" si="18"/>
        <v>0</v>
      </c>
      <c r="C89" s="125"/>
      <c r="D89" s="132"/>
      <c r="E89" s="132"/>
      <c r="F89" s="132"/>
      <c r="G89" s="126"/>
      <c r="H89" s="126"/>
      <c r="I89" s="127"/>
      <c r="J89" s="128"/>
      <c r="K89" s="128"/>
      <c r="L89" s="128"/>
      <c r="M89" s="129"/>
      <c r="N89" s="130"/>
      <c r="O89" s="130"/>
      <c r="P89" s="130"/>
      <c r="Q89" s="130"/>
      <c r="R89" s="130"/>
      <c r="S89" s="131"/>
      <c r="T89" s="124"/>
    </row>
    <row r="90" spans="2:20" s="121" customFormat="1" ht="12.75" hidden="1" customHeight="1" x14ac:dyDescent="0.2">
      <c r="B90" s="101">
        <f t="shared" si="18"/>
        <v>0</v>
      </c>
      <c r="C90" s="125"/>
      <c r="D90" s="132"/>
      <c r="E90" s="132"/>
      <c r="F90" s="132"/>
      <c r="G90" s="126"/>
      <c r="H90" s="126"/>
      <c r="I90" s="127"/>
      <c r="J90" s="128"/>
      <c r="K90" s="128"/>
      <c r="L90" s="128"/>
      <c r="M90" s="129"/>
      <c r="N90" s="130"/>
      <c r="O90" s="130"/>
      <c r="P90" s="130"/>
      <c r="Q90" s="130"/>
      <c r="R90" s="130"/>
      <c r="S90" s="131"/>
      <c r="T90" s="124"/>
    </row>
    <row r="91" spans="2:20" s="121" customFormat="1" ht="12.75" hidden="1" customHeight="1" x14ac:dyDescent="0.2">
      <c r="B91" s="101">
        <f t="shared" si="18"/>
        <v>0</v>
      </c>
      <c r="C91" s="125"/>
      <c r="D91" s="132"/>
      <c r="E91" s="132"/>
      <c r="F91" s="132"/>
      <c r="G91" s="126"/>
      <c r="H91" s="126"/>
      <c r="I91" s="127"/>
      <c r="J91" s="128"/>
      <c r="K91" s="128"/>
      <c r="L91" s="128"/>
      <c r="M91" s="129"/>
      <c r="N91" s="130"/>
      <c r="O91" s="130"/>
      <c r="P91" s="130"/>
      <c r="Q91" s="130"/>
      <c r="R91" s="130"/>
      <c r="S91" s="131"/>
      <c r="T91" s="124"/>
    </row>
    <row r="92" spans="2:20" s="121" customFormat="1" ht="12.75" hidden="1" customHeight="1" x14ac:dyDescent="0.2">
      <c r="B92" s="101">
        <f t="shared" si="18"/>
        <v>0</v>
      </c>
      <c r="C92" s="125"/>
      <c r="D92" s="132"/>
      <c r="E92" s="132"/>
      <c r="F92" s="132"/>
      <c r="G92" s="126"/>
      <c r="H92" s="126"/>
      <c r="I92" s="127"/>
      <c r="J92" s="128"/>
      <c r="K92" s="128"/>
      <c r="L92" s="128"/>
      <c r="M92" s="129"/>
      <c r="N92" s="130"/>
      <c r="O92" s="130"/>
      <c r="P92" s="130"/>
      <c r="Q92" s="130"/>
      <c r="R92" s="130"/>
      <c r="S92" s="131"/>
      <c r="T92" s="124"/>
    </row>
    <row r="93" spans="2:20" s="121" customFormat="1" ht="12.75" hidden="1" customHeight="1" x14ac:dyDescent="0.2">
      <c r="B93" s="101">
        <f t="shared" si="18"/>
        <v>0</v>
      </c>
      <c r="C93" s="125"/>
      <c r="D93" s="132"/>
      <c r="E93" s="132"/>
      <c r="F93" s="132"/>
      <c r="G93" s="126"/>
      <c r="H93" s="126"/>
      <c r="I93" s="127"/>
      <c r="J93" s="128"/>
      <c r="K93" s="128"/>
      <c r="L93" s="128"/>
      <c r="M93" s="129"/>
      <c r="N93" s="130"/>
      <c r="O93" s="130"/>
      <c r="P93" s="130"/>
      <c r="Q93" s="130"/>
      <c r="R93" s="130"/>
      <c r="S93" s="131"/>
      <c r="T93" s="124"/>
    </row>
    <row r="94" spans="2:20" s="121" customFormat="1" ht="12.75" hidden="1" customHeight="1" x14ac:dyDescent="0.2">
      <c r="B94" s="101">
        <f t="shared" si="18"/>
        <v>0</v>
      </c>
      <c r="C94" s="125"/>
      <c r="D94" s="132"/>
      <c r="E94" s="132"/>
      <c r="F94" s="132"/>
      <c r="G94" s="126"/>
      <c r="H94" s="126"/>
      <c r="I94" s="127"/>
      <c r="J94" s="128"/>
      <c r="K94" s="128"/>
      <c r="L94" s="128"/>
      <c r="M94" s="129"/>
      <c r="N94" s="130"/>
      <c r="O94" s="130"/>
      <c r="P94" s="130"/>
      <c r="Q94" s="130"/>
      <c r="R94" s="130"/>
      <c r="S94" s="131"/>
      <c r="T94" s="124"/>
    </row>
    <row r="95" spans="2:20" s="121" customFormat="1" ht="12.75" hidden="1" customHeight="1" x14ac:dyDescent="0.2">
      <c r="B95" s="101">
        <f t="shared" si="18"/>
        <v>0</v>
      </c>
      <c r="C95" s="125"/>
      <c r="D95" s="132"/>
      <c r="E95" s="132"/>
      <c r="F95" s="132"/>
      <c r="G95" s="126"/>
      <c r="H95" s="126"/>
      <c r="I95" s="127"/>
      <c r="J95" s="128"/>
      <c r="K95" s="128"/>
      <c r="L95" s="128"/>
      <c r="M95" s="129"/>
      <c r="N95" s="130"/>
      <c r="O95" s="130"/>
      <c r="P95" s="130"/>
      <c r="Q95" s="130"/>
      <c r="R95" s="130"/>
      <c r="S95" s="131"/>
      <c r="T95" s="124"/>
    </row>
    <row r="96" spans="2:20" s="121" customFormat="1" ht="12.75" hidden="1" customHeight="1" x14ac:dyDescent="0.2">
      <c r="B96" s="101">
        <f t="shared" si="18"/>
        <v>0</v>
      </c>
      <c r="C96" s="125"/>
      <c r="D96" s="132"/>
      <c r="E96" s="132"/>
      <c r="F96" s="132"/>
      <c r="G96" s="126"/>
      <c r="H96" s="126"/>
      <c r="I96" s="127"/>
      <c r="J96" s="128"/>
      <c r="K96" s="128"/>
      <c r="L96" s="128"/>
      <c r="M96" s="129"/>
      <c r="N96" s="130"/>
      <c r="O96" s="130"/>
      <c r="P96" s="130"/>
      <c r="Q96" s="130"/>
      <c r="R96" s="130"/>
      <c r="S96" s="131"/>
      <c r="T96" s="124"/>
    </row>
    <row r="97" spans="2:20" s="121" customFormat="1" ht="12.75" hidden="1" customHeight="1" x14ac:dyDescent="0.2">
      <c r="B97" s="101">
        <f t="shared" si="18"/>
        <v>0</v>
      </c>
      <c r="C97" s="125"/>
      <c r="D97" s="132"/>
      <c r="E97" s="132"/>
      <c r="F97" s="132"/>
      <c r="G97" s="126"/>
      <c r="H97" s="126"/>
      <c r="I97" s="127"/>
      <c r="J97" s="128"/>
      <c r="K97" s="128"/>
      <c r="L97" s="128"/>
      <c r="M97" s="129"/>
      <c r="N97" s="130"/>
      <c r="O97" s="130"/>
      <c r="P97" s="130"/>
      <c r="Q97" s="130"/>
      <c r="R97" s="130"/>
      <c r="S97" s="131"/>
      <c r="T97" s="124"/>
    </row>
    <row r="98" spans="2:20" s="121" customFormat="1" ht="12.75" hidden="1" customHeight="1" x14ac:dyDescent="0.2">
      <c r="B98" s="101">
        <f t="shared" si="18"/>
        <v>0</v>
      </c>
      <c r="C98" s="125"/>
      <c r="D98" s="132"/>
      <c r="E98" s="132"/>
      <c r="F98" s="132"/>
      <c r="G98" s="126"/>
      <c r="H98" s="126"/>
      <c r="I98" s="127"/>
      <c r="J98" s="128"/>
      <c r="K98" s="128"/>
      <c r="L98" s="128"/>
      <c r="M98" s="129"/>
      <c r="N98" s="130"/>
      <c r="O98" s="130"/>
      <c r="P98" s="130"/>
      <c r="Q98" s="130"/>
      <c r="R98" s="130"/>
      <c r="S98" s="131"/>
      <c r="T98" s="124"/>
    </row>
    <row r="99" spans="2:20" s="121" customFormat="1" ht="12.75" hidden="1" customHeight="1" x14ac:dyDescent="0.2">
      <c r="B99" s="101">
        <f t="shared" si="18"/>
        <v>0</v>
      </c>
      <c r="C99" s="125"/>
      <c r="D99" s="132"/>
      <c r="E99" s="132"/>
      <c r="F99" s="132"/>
      <c r="G99" s="126"/>
      <c r="H99" s="126"/>
      <c r="I99" s="127"/>
      <c r="J99" s="128"/>
      <c r="K99" s="128"/>
      <c r="L99" s="128"/>
      <c r="M99" s="129"/>
      <c r="N99" s="130"/>
      <c r="O99" s="130"/>
      <c r="P99" s="130"/>
      <c r="Q99" s="130"/>
      <c r="R99" s="130"/>
      <c r="S99" s="131"/>
      <c r="T99" s="124"/>
    </row>
    <row r="100" spans="2:20" s="121" customFormat="1" ht="12.75" hidden="1" customHeight="1" x14ac:dyDescent="0.2">
      <c r="B100" s="101">
        <f t="shared" si="18"/>
        <v>0</v>
      </c>
      <c r="C100" s="125"/>
      <c r="D100" s="132"/>
      <c r="E100" s="132"/>
      <c r="F100" s="132"/>
      <c r="G100" s="126"/>
      <c r="H100" s="126"/>
      <c r="I100" s="127"/>
      <c r="J100" s="128"/>
      <c r="K100" s="128"/>
      <c r="L100" s="128"/>
      <c r="M100" s="129"/>
      <c r="N100" s="130"/>
      <c r="O100" s="130"/>
      <c r="P100" s="130"/>
      <c r="Q100" s="130"/>
      <c r="R100" s="130"/>
      <c r="S100" s="131"/>
      <c r="T100" s="124"/>
    </row>
    <row r="101" spans="2:20" s="121" customFormat="1" ht="12.75" hidden="1" customHeight="1" x14ac:dyDescent="0.2">
      <c r="B101" s="101">
        <f t="shared" si="18"/>
        <v>0</v>
      </c>
      <c r="C101" s="125"/>
      <c r="D101" s="132"/>
      <c r="E101" s="132"/>
      <c r="F101" s="132"/>
      <c r="G101" s="126"/>
      <c r="H101" s="126"/>
      <c r="I101" s="127"/>
      <c r="J101" s="128"/>
      <c r="K101" s="128"/>
      <c r="L101" s="128"/>
      <c r="M101" s="129"/>
      <c r="N101" s="130"/>
      <c r="O101" s="130"/>
      <c r="P101" s="130"/>
      <c r="Q101" s="130"/>
      <c r="R101" s="130"/>
      <c r="S101" s="131"/>
      <c r="T101" s="124"/>
    </row>
    <row r="102" spans="2:20" s="121" customFormat="1" ht="12.75" hidden="1" customHeight="1" x14ac:dyDescent="0.2">
      <c r="B102" s="101">
        <f t="shared" si="18"/>
        <v>0</v>
      </c>
      <c r="C102" s="125"/>
      <c r="D102" s="132"/>
      <c r="E102" s="132"/>
      <c r="F102" s="132"/>
      <c r="G102" s="126"/>
      <c r="H102" s="126"/>
      <c r="I102" s="127"/>
      <c r="J102" s="128"/>
      <c r="K102" s="128"/>
      <c r="L102" s="128"/>
      <c r="M102" s="129"/>
      <c r="N102" s="130"/>
      <c r="O102" s="130"/>
      <c r="P102" s="130"/>
      <c r="Q102" s="130"/>
      <c r="R102" s="130"/>
      <c r="S102" s="131"/>
      <c r="T102" s="124"/>
    </row>
    <row r="103" spans="2:20" s="121" customFormat="1" ht="12.75" hidden="1" customHeight="1" x14ac:dyDescent="0.2">
      <c r="B103" s="101">
        <f t="shared" si="18"/>
        <v>0</v>
      </c>
      <c r="C103" s="125"/>
      <c r="D103" s="132"/>
      <c r="E103" s="132"/>
      <c r="F103" s="132"/>
      <c r="G103" s="126"/>
      <c r="H103" s="126"/>
      <c r="I103" s="127"/>
      <c r="J103" s="128"/>
      <c r="K103" s="128"/>
      <c r="L103" s="128"/>
      <c r="M103" s="129"/>
      <c r="N103" s="130"/>
      <c r="O103" s="130"/>
      <c r="P103" s="130"/>
      <c r="Q103" s="130"/>
      <c r="R103" s="130"/>
      <c r="S103" s="131"/>
      <c r="T103" s="124"/>
    </row>
    <row r="104" spans="2:20" s="121" customFormat="1" ht="12.75" hidden="1" customHeight="1" x14ac:dyDescent="0.2">
      <c r="B104" s="101">
        <f t="shared" si="18"/>
        <v>0</v>
      </c>
      <c r="C104" s="125"/>
      <c r="D104" s="132"/>
      <c r="E104" s="132"/>
      <c r="F104" s="132"/>
      <c r="G104" s="126"/>
      <c r="H104" s="126"/>
      <c r="I104" s="127"/>
      <c r="J104" s="128"/>
      <c r="K104" s="128"/>
      <c r="L104" s="128"/>
      <c r="M104" s="129"/>
      <c r="N104" s="130"/>
      <c r="O104" s="130"/>
      <c r="P104" s="130"/>
      <c r="Q104" s="130"/>
      <c r="R104" s="130"/>
      <c r="S104" s="131"/>
      <c r="T104" s="124"/>
    </row>
    <row r="105" spans="2:20" s="121" customFormat="1" ht="12.75" hidden="1" customHeight="1" x14ac:dyDescent="0.2">
      <c r="B105" s="101">
        <f t="shared" si="18"/>
        <v>0</v>
      </c>
      <c r="C105" s="125"/>
      <c r="D105" s="132"/>
      <c r="E105" s="132"/>
      <c r="F105" s="132"/>
      <c r="G105" s="126"/>
      <c r="H105" s="126"/>
      <c r="I105" s="127"/>
      <c r="J105" s="128"/>
      <c r="K105" s="128"/>
      <c r="L105" s="128"/>
      <c r="M105" s="129"/>
      <c r="N105" s="130"/>
      <c r="O105" s="130"/>
      <c r="P105" s="130"/>
      <c r="Q105" s="130"/>
      <c r="R105" s="130"/>
      <c r="S105" s="131"/>
      <c r="T105" s="124"/>
    </row>
    <row r="106" spans="2:20" s="121" customFormat="1" ht="12.75" hidden="1" customHeight="1" x14ac:dyDescent="0.2">
      <c r="B106" s="101">
        <f t="shared" si="18"/>
        <v>0</v>
      </c>
      <c r="C106" s="125"/>
      <c r="D106" s="132"/>
      <c r="E106" s="132"/>
      <c r="F106" s="132"/>
      <c r="G106" s="126"/>
      <c r="H106" s="126"/>
      <c r="I106" s="127"/>
      <c r="J106" s="128"/>
      <c r="K106" s="128"/>
      <c r="L106" s="128"/>
      <c r="M106" s="129"/>
      <c r="N106" s="130"/>
      <c r="O106" s="130"/>
      <c r="P106" s="130"/>
      <c r="Q106" s="130"/>
      <c r="R106" s="130"/>
      <c r="S106" s="131"/>
      <c r="T106" s="124"/>
    </row>
    <row r="107" spans="2:20" s="121" customFormat="1" ht="12.75" hidden="1" customHeight="1" x14ac:dyDescent="0.2">
      <c r="B107" s="101">
        <f t="shared" si="18"/>
        <v>0</v>
      </c>
      <c r="C107" s="125"/>
      <c r="D107" s="132"/>
      <c r="E107" s="132"/>
      <c r="F107" s="132"/>
      <c r="G107" s="126"/>
      <c r="H107" s="126"/>
      <c r="I107" s="127"/>
      <c r="J107" s="128"/>
      <c r="K107" s="128"/>
      <c r="L107" s="128"/>
      <c r="M107" s="129"/>
      <c r="N107" s="130"/>
      <c r="O107" s="130"/>
      <c r="P107" s="130"/>
      <c r="Q107" s="130"/>
      <c r="R107" s="130"/>
      <c r="S107" s="131"/>
      <c r="T107" s="124"/>
    </row>
    <row r="108" spans="2:20" s="121" customFormat="1" ht="12.75" hidden="1" customHeight="1" x14ac:dyDescent="0.2">
      <c r="B108" s="101">
        <f t="shared" si="18"/>
        <v>0</v>
      </c>
      <c r="C108" s="125"/>
      <c r="D108" s="132"/>
      <c r="E108" s="132"/>
      <c r="F108" s="132"/>
      <c r="G108" s="126"/>
      <c r="H108" s="126"/>
      <c r="I108" s="127"/>
      <c r="J108" s="128"/>
      <c r="K108" s="128"/>
      <c r="L108" s="128"/>
      <c r="M108" s="129"/>
      <c r="N108" s="130"/>
      <c r="O108" s="130"/>
      <c r="P108" s="130"/>
      <c r="Q108" s="130"/>
      <c r="R108" s="130"/>
      <c r="S108" s="131"/>
      <c r="T108" s="124"/>
    </row>
    <row r="109" spans="2:20" s="121" customFormat="1" ht="12.75" hidden="1" customHeight="1" x14ac:dyDescent="0.2">
      <c r="B109" s="101">
        <f t="shared" si="18"/>
        <v>0</v>
      </c>
      <c r="C109" s="125"/>
      <c r="D109" s="132"/>
      <c r="E109" s="132"/>
      <c r="F109" s="132"/>
      <c r="G109" s="126"/>
      <c r="H109" s="126"/>
      <c r="I109" s="127"/>
      <c r="J109" s="128"/>
      <c r="K109" s="128"/>
      <c r="L109" s="128"/>
      <c r="M109" s="129"/>
      <c r="N109" s="130"/>
      <c r="O109" s="130"/>
      <c r="P109" s="130"/>
      <c r="Q109" s="130"/>
      <c r="R109" s="130"/>
      <c r="S109" s="131"/>
      <c r="T109" s="124"/>
    </row>
    <row r="110" spans="2:20" s="121" customFormat="1" ht="12.75" hidden="1" customHeight="1" x14ac:dyDescent="0.2">
      <c r="B110" s="101">
        <f t="shared" si="18"/>
        <v>0</v>
      </c>
      <c r="C110" s="125"/>
      <c r="D110" s="132"/>
      <c r="E110" s="132"/>
      <c r="F110" s="132"/>
      <c r="G110" s="126"/>
      <c r="H110" s="126"/>
      <c r="I110" s="127"/>
      <c r="J110" s="128"/>
      <c r="K110" s="128"/>
      <c r="L110" s="128"/>
      <c r="M110" s="129"/>
      <c r="N110" s="130"/>
      <c r="O110" s="130"/>
      <c r="P110" s="130"/>
      <c r="Q110" s="130"/>
      <c r="R110" s="130"/>
      <c r="S110" s="131"/>
      <c r="T110" s="124"/>
    </row>
    <row r="111" spans="2:20" s="121" customFormat="1" ht="12.75" hidden="1" customHeight="1" x14ac:dyDescent="0.2">
      <c r="B111" s="101">
        <f t="shared" si="18"/>
        <v>0</v>
      </c>
      <c r="C111" s="125"/>
      <c r="D111" s="132"/>
      <c r="E111" s="132"/>
      <c r="F111" s="132"/>
      <c r="G111" s="126"/>
      <c r="H111" s="126"/>
      <c r="I111" s="127"/>
      <c r="J111" s="128"/>
      <c r="K111" s="128"/>
      <c r="L111" s="128"/>
      <c r="M111" s="129"/>
      <c r="N111" s="130"/>
      <c r="O111" s="130"/>
      <c r="P111" s="130"/>
      <c r="Q111" s="130"/>
      <c r="R111" s="130"/>
      <c r="S111" s="131"/>
      <c r="T111" s="124"/>
    </row>
    <row r="112" spans="2:20" s="121" customFormat="1" ht="12.75" hidden="1" customHeight="1" x14ac:dyDescent="0.2">
      <c r="B112" s="101">
        <f t="shared" ref="B112:B144" si="19">M112</f>
        <v>0</v>
      </c>
      <c r="C112" s="125"/>
      <c r="D112" s="132"/>
      <c r="E112" s="132"/>
      <c r="F112" s="132"/>
      <c r="G112" s="126"/>
      <c r="H112" s="126"/>
      <c r="I112" s="127"/>
      <c r="J112" s="128"/>
      <c r="K112" s="128"/>
      <c r="L112" s="128"/>
      <c r="M112" s="129"/>
      <c r="N112" s="130"/>
      <c r="O112" s="130"/>
      <c r="P112" s="130"/>
      <c r="Q112" s="130"/>
      <c r="R112" s="130"/>
      <c r="S112" s="131"/>
      <c r="T112" s="124"/>
    </row>
    <row r="113" spans="2:20" s="121" customFormat="1" ht="12.75" hidden="1" customHeight="1" x14ac:dyDescent="0.2">
      <c r="B113" s="101">
        <f t="shared" si="19"/>
        <v>0</v>
      </c>
      <c r="C113" s="125"/>
      <c r="D113" s="132"/>
      <c r="E113" s="132"/>
      <c r="F113" s="132"/>
      <c r="G113" s="126"/>
      <c r="H113" s="126"/>
      <c r="I113" s="127"/>
      <c r="J113" s="128"/>
      <c r="K113" s="128"/>
      <c r="L113" s="128"/>
      <c r="M113" s="129"/>
      <c r="N113" s="130"/>
      <c r="O113" s="130"/>
      <c r="P113" s="130"/>
      <c r="Q113" s="130"/>
      <c r="R113" s="130"/>
      <c r="S113" s="131"/>
      <c r="T113" s="124"/>
    </row>
    <row r="114" spans="2:20" s="121" customFormat="1" ht="12.75" hidden="1" customHeight="1" x14ac:dyDescent="0.2">
      <c r="B114" s="101">
        <f t="shared" si="19"/>
        <v>0</v>
      </c>
      <c r="C114" s="125"/>
      <c r="D114" s="132"/>
      <c r="E114" s="132"/>
      <c r="F114" s="132"/>
      <c r="G114" s="126"/>
      <c r="H114" s="126"/>
      <c r="I114" s="127"/>
      <c r="J114" s="128"/>
      <c r="K114" s="128"/>
      <c r="L114" s="128"/>
      <c r="M114" s="129"/>
      <c r="N114" s="130"/>
      <c r="O114" s="130"/>
      <c r="P114" s="130"/>
      <c r="Q114" s="130"/>
      <c r="R114" s="130"/>
      <c r="S114" s="131"/>
      <c r="T114" s="124"/>
    </row>
    <row r="115" spans="2:20" s="121" customFormat="1" ht="12.75" hidden="1" customHeight="1" x14ac:dyDescent="0.2">
      <c r="B115" s="101">
        <f t="shared" si="19"/>
        <v>0</v>
      </c>
      <c r="C115" s="125"/>
      <c r="D115" s="132"/>
      <c r="E115" s="132"/>
      <c r="F115" s="132"/>
      <c r="G115" s="126"/>
      <c r="H115" s="126"/>
      <c r="I115" s="127"/>
      <c r="J115" s="128"/>
      <c r="K115" s="128"/>
      <c r="L115" s="128"/>
      <c r="M115" s="129"/>
      <c r="N115" s="130"/>
      <c r="O115" s="130"/>
      <c r="P115" s="130"/>
      <c r="Q115" s="130"/>
      <c r="R115" s="130"/>
      <c r="S115" s="131"/>
      <c r="T115" s="124"/>
    </row>
    <row r="116" spans="2:20" s="121" customFormat="1" ht="12.75" hidden="1" customHeight="1" x14ac:dyDescent="0.2">
      <c r="B116" s="101">
        <f t="shared" si="19"/>
        <v>0</v>
      </c>
      <c r="C116" s="125"/>
      <c r="D116" s="132"/>
      <c r="E116" s="132"/>
      <c r="F116" s="132"/>
      <c r="G116" s="126"/>
      <c r="H116" s="126"/>
      <c r="I116" s="127"/>
      <c r="J116" s="128"/>
      <c r="K116" s="128"/>
      <c r="L116" s="128"/>
      <c r="M116" s="129"/>
      <c r="N116" s="130"/>
      <c r="O116" s="130"/>
      <c r="P116" s="130"/>
      <c r="Q116" s="130"/>
      <c r="R116" s="130"/>
      <c r="S116" s="131"/>
      <c r="T116" s="124"/>
    </row>
    <row r="117" spans="2:20" s="121" customFormat="1" ht="12.75" hidden="1" customHeight="1" x14ac:dyDescent="0.2">
      <c r="B117" s="101">
        <f t="shared" si="19"/>
        <v>0</v>
      </c>
      <c r="C117" s="125"/>
      <c r="D117" s="132"/>
      <c r="E117" s="132"/>
      <c r="F117" s="132"/>
      <c r="G117" s="126"/>
      <c r="H117" s="126"/>
      <c r="I117" s="127"/>
      <c r="J117" s="128"/>
      <c r="K117" s="128"/>
      <c r="L117" s="128"/>
      <c r="M117" s="129"/>
      <c r="N117" s="130"/>
      <c r="O117" s="130"/>
      <c r="P117" s="130"/>
      <c r="Q117" s="130"/>
      <c r="R117" s="130"/>
      <c r="S117" s="131"/>
      <c r="T117" s="124"/>
    </row>
    <row r="118" spans="2:20" s="121" customFormat="1" ht="12.75" hidden="1" customHeight="1" x14ac:dyDescent="0.2">
      <c r="B118" s="101">
        <f t="shared" si="19"/>
        <v>0</v>
      </c>
      <c r="C118" s="125"/>
      <c r="D118" s="132"/>
      <c r="E118" s="132"/>
      <c r="F118" s="132"/>
      <c r="G118" s="126"/>
      <c r="H118" s="126"/>
      <c r="I118" s="127"/>
      <c r="J118" s="128"/>
      <c r="K118" s="128"/>
      <c r="L118" s="128"/>
      <c r="M118" s="129"/>
      <c r="N118" s="130"/>
      <c r="O118" s="130"/>
      <c r="P118" s="130"/>
      <c r="Q118" s="130"/>
      <c r="R118" s="130"/>
      <c r="S118" s="131"/>
      <c r="T118" s="124"/>
    </row>
    <row r="119" spans="2:20" s="121" customFormat="1" ht="12.75" hidden="1" customHeight="1" x14ac:dyDescent="0.2">
      <c r="B119" s="101">
        <f t="shared" si="19"/>
        <v>0</v>
      </c>
      <c r="C119" s="125"/>
      <c r="D119" s="132"/>
      <c r="E119" s="132"/>
      <c r="F119" s="132"/>
      <c r="G119" s="126"/>
      <c r="H119" s="126"/>
      <c r="I119" s="127"/>
      <c r="J119" s="128"/>
      <c r="K119" s="128"/>
      <c r="L119" s="128"/>
      <c r="M119" s="129"/>
      <c r="N119" s="130"/>
      <c r="O119" s="130"/>
      <c r="P119" s="130"/>
      <c r="Q119" s="130"/>
      <c r="R119" s="130"/>
      <c r="S119" s="131"/>
      <c r="T119" s="124"/>
    </row>
    <row r="120" spans="2:20" s="121" customFormat="1" ht="12.75" hidden="1" customHeight="1" x14ac:dyDescent="0.2">
      <c r="B120" s="101">
        <f t="shared" si="19"/>
        <v>0</v>
      </c>
      <c r="C120" s="125"/>
      <c r="D120" s="132"/>
      <c r="E120" s="132"/>
      <c r="F120" s="132"/>
      <c r="G120" s="126"/>
      <c r="H120" s="126"/>
      <c r="I120" s="127"/>
      <c r="J120" s="128"/>
      <c r="K120" s="128"/>
      <c r="L120" s="128"/>
      <c r="M120" s="129"/>
      <c r="N120" s="130"/>
      <c r="O120" s="130"/>
      <c r="P120" s="130"/>
      <c r="Q120" s="130"/>
      <c r="R120" s="130"/>
      <c r="S120" s="131"/>
      <c r="T120" s="124"/>
    </row>
    <row r="121" spans="2:20" s="121" customFormat="1" ht="12.75" hidden="1" customHeight="1" x14ac:dyDescent="0.2">
      <c r="B121" s="101">
        <f t="shared" si="19"/>
        <v>0</v>
      </c>
      <c r="C121" s="125"/>
      <c r="D121" s="132"/>
      <c r="E121" s="132"/>
      <c r="F121" s="132"/>
      <c r="G121" s="126"/>
      <c r="H121" s="126"/>
      <c r="I121" s="127"/>
      <c r="J121" s="128"/>
      <c r="K121" s="128"/>
      <c r="L121" s="128"/>
      <c r="M121" s="129"/>
      <c r="N121" s="130"/>
      <c r="O121" s="130"/>
      <c r="P121" s="130"/>
      <c r="Q121" s="130"/>
      <c r="R121" s="130"/>
      <c r="S121" s="131"/>
      <c r="T121" s="124"/>
    </row>
    <row r="122" spans="2:20" s="121" customFormat="1" ht="12.75" hidden="1" customHeight="1" x14ac:dyDescent="0.2">
      <c r="B122" s="101">
        <f t="shared" si="19"/>
        <v>0</v>
      </c>
      <c r="C122" s="125"/>
      <c r="D122" s="132"/>
      <c r="E122" s="132"/>
      <c r="F122" s="132"/>
      <c r="G122" s="126"/>
      <c r="H122" s="126"/>
      <c r="I122" s="127"/>
      <c r="J122" s="128"/>
      <c r="K122" s="128"/>
      <c r="L122" s="128"/>
      <c r="M122" s="129"/>
      <c r="N122" s="130"/>
      <c r="O122" s="130"/>
      <c r="P122" s="130"/>
      <c r="Q122" s="130"/>
      <c r="R122" s="130"/>
      <c r="S122" s="131"/>
      <c r="T122" s="124"/>
    </row>
    <row r="123" spans="2:20" s="121" customFormat="1" ht="12.75" hidden="1" customHeight="1" x14ac:dyDescent="0.2">
      <c r="B123" s="101">
        <f t="shared" si="19"/>
        <v>0</v>
      </c>
      <c r="C123" s="125"/>
      <c r="D123" s="132"/>
      <c r="E123" s="132"/>
      <c r="F123" s="132"/>
      <c r="G123" s="126"/>
      <c r="H123" s="126"/>
      <c r="I123" s="127"/>
      <c r="J123" s="128"/>
      <c r="K123" s="128"/>
      <c r="L123" s="128"/>
      <c r="M123" s="129"/>
      <c r="N123" s="130"/>
      <c r="O123" s="130"/>
      <c r="P123" s="130"/>
      <c r="Q123" s="130"/>
      <c r="R123" s="130"/>
      <c r="S123" s="131"/>
      <c r="T123" s="124"/>
    </row>
    <row r="124" spans="2:20" s="121" customFormat="1" ht="12.75" hidden="1" customHeight="1" x14ac:dyDescent="0.2">
      <c r="B124" s="101">
        <f t="shared" si="19"/>
        <v>0</v>
      </c>
      <c r="C124" s="125"/>
      <c r="D124" s="132"/>
      <c r="E124" s="132"/>
      <c r="F124" s="132"/>
      <c r="G124" s="126"/>
      <c r="H124" s="126"/>
      <c r="I124" s="127"/>
      <c r="J124" s="128"/>
      <c r="K124" s="128"/>
      <c r="L124" s="128"/>
      <c r="M124" s="129"/>
      <c r="N124" s="130"/>
      <c r="O124" s="130"/>
      <c r="P124" s="130"/>
      <c r="Q124" s="130"/>
      <c r="R124" s="130"/>
      <c r="S124" s="131"/>
      <c r="T124" s="124"/>
    </row>
    <row r="125" spans="2:20" s="121" customFormat="1" ht="12.75" hidden="1" customHeight="1" x14ac:dyDescent="0.2">
      <c r="B125" s="101">
        <f t="shared" si="19"/>
        <v>0</v>
      </c>
      <c r="C125" s="125"/>
      <c r="D125" s="132"/>
      <c r="E125" s="132"/>
      <c r="F125" s="132"/>
      <c r="G125" s="126"/>
      <c r="H125" s="126"/>
      <c r="I125" s="127"/>
      <c r="J125" s="128"/>
      <c r="K125" s="128"/>
      <c r="L125" s="128"/>
      <c r="M125" s="129"/>
      <c r="N125" s="130"/>
      <c r="O125" s="130"/>
      <c r="P125" s="130"/>
      <c r="Q125" s="130"/>
      <c r="R125" s="130"/>
      <c r="S125" s="131"/>
      <c r="T125" s="124"/>
    </row>
    <row r="126" spans="2:20" s="121" customFormat="1" ht="12.75" hidden="1" customHeight="1" x14ac:dyDescent="0.2">
      <c r="B126" s="101">
        <f t="shared" si="19"/>
        <v>0</v>
      </c>
      <c r="C126" s="125"/>
      <c r="D126" s="132"/>
      <c r="E126" s="132"/>
      <c r="F126" s="132"/>
      <c r="G126" s="126"/>
      <c r="H126" s="126"/>
      <c r="I126" s="127"/>
      <c r="J126" s="128"/>
      <c r="K126" s="128"/>
      <c r="L126" s="128"/>
      <c r="M126" s="129"/>
      <c r="N126" s="130"/>
      <c r="O126" s="130"/>
      <c r="P126" s="130"/>
      <c r="Q126" s="130"/>
      <c r="R126" s="130"/>
      <c r="S126" s="131"/>
      <c r="T126" s="124"/>
    </row>
    <row r="127" spans="2:20" s="121" customFormat="1" ht="12.75" hidden="1" customHeight="1" x14ac:dyDescent="0.2">
      <c r="B127" s="101">
        <f t="shared" si="19"/>
        <v>0</v>
      </c>
      <c r="C127" s="125"/>
      <c r="D127" s="132"/>
      <c r="E127" s="132"/>
      <c r="F127" s="132"/>
      <c r="G127" s="126"/>
      <c r="H127" s="126"/>
      <c r="I127" s="127"/>
      <c r="J127" s="128"/>
      <c r="K127" s="128"/>
      <c r="L127" s="128"/>
      <c r="M127" s="129"/>
      <c r="N127" s="130"/>
      <c r="O127" s="130"/>
      <c r="P127" s="130"/>
      <c r="Q127" s="130"/>
      <c r="R127" s="130"/>
      <c r="S127" s="131"/>
      <c r="T127" s="124"/>
    </row>
    <row r="128" spans="2:20" s="121" customFormat="1" ht="12.75" hidden="1" customHeight="1" x14ac:dyDescent="0.2">
      <c r="B128" s="101">
        <f t="shared" si="19"/>
        <v>0</v>
      </c>
      <c r="C128" s="125"/>
      <c r="D128" s="132"/>
      <c r="E128" s="132"/>
      <c r="F128" s="132"/>
      <c r="G128" s="126"/>
      <c r="H128" s="126"/>
      <c r="I128" s="127"/>
      <c r="J128" s="128"/>
      <c r="K128" s="128"/>
      <c r="L128" s="128"/>
      <c r="M128" s="129"/>
      <c r="N128" s="130"/>
      <c r="O128" s="130"/>
      <c r="P128" s="130"/>
      <c r="Q128" s="130"/>
      <c r="R128" s="130"/>
      <c r="S128" s="131"/>
      <c r="T128" s="124"/>
    </row>
    <row r="129" spans="2:20" s="121" customFormat="1" ht="12.75" hidden="1" customHeight="1" x14ac:dyDescent="0.2">
      <c r="B129" s="101">
        <f t="shared" si="19"/>
        <v>0</v>
      </c>
      <c r="C129" s="125"/>
      <c r="D129" s="132"/>
      <c r="E129" s="132"/>
      <c r="F129" s="132"/>
      <c r="G129" s="126"/>
      <c r="H129" s="126"/>
      <c r="I129" s="127"/>
      <c r="J129" s="128"/>
      <c r="K129" s="128"/>
      <c r="L129" s="128"/>
      <c r="M129" s="129"/>
      <c r="N129" s="130"/>
      <c r="O129" s="130"/>
      <c r="P129" s="130"/>
      <c r="Q129" s="130"/>
      <c r="R129" s="130"/>
      <c r="S129" s="131"/>
      <c r="T129" s="124"/>
    </row>
    <row r="130" spans="2:20" s="121" customFormat="1" ht="12.75" hidden="1" customHeight="1" x14ac:dyDescent="0.2">
      <c r="B130" s="101">
        <f t="shared" si="19"/>
        <v>0</v>
      </c>
      <c r="C130" s="125"/>
      <c r="D130" s="132"/>
      <c r="E130" s="132"/>
      <c r="F130" s="132"/>
      <c r="G130" s="126"/>
      <c r="H130" s="126"/>
      <c r="I130" s="127"/>
      <c r="J130" s="128"/>
      <c r="K130" s="128"/>
      <c r="L130" s="128"/>
      <c r="M130" s="129"/>
      <c r="N130" s="130"/>
      <c r="O130" s="130"/>
      <c r="P130" s="130"/>
      <c r="Q130" s="130"/>
      <c r="R130" s="130"/>
      <c r="S130" s="131"/>
      <c r="T130" s="124"/>
    </row>
    <row r="131" spans="2:20" s="121" customFormat="1" ht="12.75" hidden="1" customHeight="1" x14ac:dyDescent="0.2">
      <c r="B131" s="101">
        <f t="shared" si="19"/>
        <v>0</v>
      </c>
      <c r="C131" s="125"/>
      <c r="D131" s="132"/>
      <c r="E131" s="132"/>
      <c r="F131" s="132"/>
      <c r="G131" s="126"/>
      <c r="H131" s="126"/>
      <c r="I131" s="127"/>
      <c r="J131" s="128"/>
      <c r="K131" s="128"/>
      <c r="L131" s="128"/>
      <c r="M131" s="129"/>
      <c r="N131" s="130"/>
      <c r="O131" s="130"/>
      <c r="P131" s="130"/>
      <c r="Q131" s="130"/>
      <c r="R131" s="130"/>
      <c r="S131" s="131"/>
      <c r="T131" s="124"/>
    </row>
    <row r="132" spans="2:20" s="121" customFormat="1" ht="12.75" hidden="1" customHeight="1" x14ac:dyDescent="0.2">
      <c r="B132" s="101">
        <f t="shared" si="19"/>
        <v>0</v>
      </c>
      <c r="C132" s="125"/>
      <c r="D132" s="132"/>
      <c r="E132" s="132"/>
      <c r="F132" s="132"/>
      <c r="G132" s="126"/>
      <c r="H132" s="126"/>
      <c r="I132" s="127"/>
      <c r="J132" s="128"/>
      <c r="K132" s="128"/>
      <c r="L132" s="128"/>
      <c r="M132" s="129"/>
      <c r="N132" s="130"/>
      <c r="O132" s="130"/>
      <c r="P132" s="130"/>
      <c r="Q132" s="130"/>
      <c r="R132" s="130"/>
      <c r="S132" s="131"/>
      <c r="T132" s="124"/>
    </row>
    <row r="133" spans="2:20" s="121" customFormat="1" ht="12.75" hidden="1" customHeight="1" x14ac:dyDescent="0.2">
      <c r="B133" s="101">
        <f t="shared" si="19"/>
        <v>0</v>
      </c>
      <c r="C133" s="125"/>
      <c r="D133" s="132"/>
      <c r="E133" s="132"/>
      <c r="F133" s="132"/>
      <c r="G133" s="126"/>
      <c r="H133" s="126"/>
      <c r="I133" s="127"/>
      <c r="J133" s="128"/>
      <c r="K133" s="128"/>
      <c r="L133" s="128"/>
      <c r="M133" s="129"/>
      <c r="N133" s="130"/>
      <c r="O133" s="130"/>
      <c r="P133" s="130"/>
      <c r="Q133" s="130"/>
      <c r="R133" s="130"/>
      <c r="S133" s="131"/>
      <c r="T133" s="124"/>
    </row>
    <row r="134" spans="2:20" s="121" customFormat="1" ht="12.75" hidden="1" customHeight="1" x14ac:dyDescent="0.2">
      <c r="B134" s="101">
        <f t="shared" si="19"/>
        <v>0</v>
      </c>
      <c r="C134" s="125"/>
      <c r="D134" s="132"/>
      <c r="E134" s="132"/>
      <c r="F134" s="132"/>
      <c r="G134" s="126"/>
      <c r="H134" s="126"/>
      <c r="I134" s="127"/>
      <c r="J134" s="128"/>
      <c r="K134" s="128"/>
      <c r="L134" s="128"/>
      <c r="M134" s="129"/>
      <c r="N134" s="130"/>
      <c r="O134" s="130"/>
      <c r="P134" s="130"/>
      <c r="Q134" s="130"/>
      <c r="R134" s="130"/>
      <c r="S134" s="131"/>
      <c r="T134" s="124"/>
    </row>
    <row r="135" spans="2:20" s="121" customFormat="1" ht="12.75" hidden="1" customHeight="1" x14ac:dyDescent="0.2">
      <c r="B135" s="101">
        <f t="shared" si="19"/>
        <v>0</v>
      </c>
      <c r="C135" s="125"/>
      <c r="D135" s="132"/>
      <c r="E135" s="132"/>
      <c r="F135" s="132"/>
      <c r="G135" s="126"/>
      <c r="H135" s="126"/>
      <c r="I135" s="127"/>
      <c r="J135" s="128"/>
      <c r="K135" s="128"/>
      <c r="L135" s="128"/>
      <c r="M135" s="129"/>
      <c r="N135" s="130"/>
      <c r="O135" s="130"/>
      <c r="P135" s="130"/>
      <c r="Q135" s="130"/>
      <c r="R135" s="130"/>
      <c r="S135" s="131"/>
      <c r="T135" s="124"/>
    </row>
    <row r="136" spans="2:20" s="121" customFormat="1" ht="12.75" hidden="1" customHeight="1" x14ac:dyDescent="0.2">
      <c r="B136" s="101">
        <f t="shared" si="19"/>
        <v>0</v>
      </c>
      <c r="C136" s="125"/>
      <c r="D136" s="132"/>
      <c r="E136" s="132"/>
      <c r="F136" s="132"/>
      <c r="G136" s="126"/>
      <c r="H136" s="126"/>
      <c r="I136" s="127"/>
      <c r="J136" s="128"/>
      <c r="K136" s="128"/>
      <c r="L136" s="128"/>
      <c r="M136" s="129"/>
      <c r="N136" s="130"/>
      <c r="O136" s="130"/>
      <c r="P136" s="130"/>
      <c r="Q136" s="130"/>
      <c r="R136" s="130"/>
      <c r="S136" s="131"/>
      <c r="T136" s="124"/>
    </row>
    <row r="137" spans="2:20" s="121" customFormat="1" ht="12.75" hidden="1" customHeight="1" x14ac:dyDescent="0.2">
      <c r="B137" s="101">
        <f t="shared" si="19"/>
        <v>0</v>
      </c>
      <c r="C137" s="125"/>
      <c r="D137" s="132"/>
      <c r="E137" s="132"/>
      <c r="F137" s="132"/>
      <c r="G137" s="126"/>
      <c r="H137" s="126"/>
      <c r="I137" s="127"/>
      <c r="J137" s="128"/>
      <c r="K137" s="128"/>
      <c r="L137" s="128"/>
      <c r="M137" s="129"/>
      <c r="N137" s="130"/>
      <c r="O137" s="130"/>
      <c r="P137" s="130"/>
      <c r="Q137" s="130"/>
      <c r="R137" s="130"/>
      <c r="S137" s="131"/>
      <c r="T137" s="124"/>
    </row>
    <row r="138" spans="2:20" s="121" customFormat="1" ht="12.75" hidden="1" customHeight="1" x14ac:dyDescent="0.2">
      <c r="B138" s="101">
        <f t="shared" si="19"/>
        <v>0</v>
      </c>
      <c r="C138" s="125"/>
      <c r="D138" s="132"/>
      <c r="E138" s="132"/>
      <c r="F138" s="132"/>
      <c r="G138" s="126"/>
      <c r="H138" s="126"/>
      <c r="I138" s="127"/>
      <c r="J138" s="128"/>
      <c r="K138" s="128"/>
      <c r="L138" s="128"/>
      <c r="M138" s="129"/>
      <c r="N138" s="130"/>
      <c r="O138" s="130"/>
      <c r="P138" s="130"/>
      <c r="Q138" s="130"/>
      <c r="R138" s="130"/>
      <c r="S138" s="131"/>
      <c r="T138" s="124"/>
    </row>
    <row r="139" spans="2:20" s="121" customFormat="1" ht="12.75" hidden="1" customHeight="1" x14ac:dyDescent="0.2">
      <c r="B139" s="101">
        <f t="shared" si="19"/>
        <v>0</v>
      </c>
      <c r="C139" s="125"/>
      <c r="D139" s="132"/>
      <c r="E139" s="132"/>
      <c r="F139" s="132"/>
      <c r="G139" s="126"/>
      <c r="H139" s="126"/>
      <c r="I139" s="127"/>
      <c r="J139" s="128"/>
      <c r="K139" s="128"/>
      <c r="L139" s="128"/>
      <c r="M139" s="129"/>
      <c r="N139" s="130"/>
      <c r="O139" s="130"/>
      <c r="P139" s="130"/>
      <c r="Q139" s="130"/>
      <c r="R139" s="130"/>
      <c r="S139" s="131"/>
      <c r="T139" s="124"/>
    </row>
    <row r="140" spans="2:20" s="121" customFormat="1" ht="12.75" hidden="1" customHeight="1" x14ac:dyDescent="0.2">
      <c r="B140" s="101">
        <f t="shared" si="19"/>
        <v>0</v>
      </c>
      <c r="C140" s="125"/>
      <c r="D140" s="132"/>
      <c r="E140" s="132"/>
      <c r="F140" s="132"/>
      <c r="G140" s="126"/>
      <c r="H140" s="126"/>
      <c r="I140" s="127"/>
      <c r="J140" s="128"/>
      <c r="K140" s="128"/>
      <c r="L140" s="128"/>
      <c r="M140" s="129"/>
      <c r="N140" s="130"/>
      <c r="O140" s="130"/>
      <c r="P140" s="130"/>
      <c r="Q140" s="130"/>
      <c r="R140" s="130"/>
      <c r="S140" s="131"/>
      <c r="T140" s="124"/>
    </row>
    <row r="141" spans="2:20" s="121" customFormat="1" ht="12.75" hidden="1" customHeight="1" x14ac:dyDescent="0.2">
      <c r="B141" s="101">
        <f t="shared" si="19"/>
        <v>0</v>
      </c>
      <c r="C141" s="125"/>
      <c r="D141" s="132"/>
      <c r="E141" s="132"/>
      <c r="F141" s="132"/>
      <c r="G141" s="126"/>
      <c r="H141" s="126"/>
      <c r="I141" s="127"/>
      <c r="J141" s="128"/>
      <c r="K141" s="128"/>
      <c r="L141" s="128"/>
      <c r="M141" s="129"/>
      <c r="N141" s="130"/>
      <c r="O141" s="130"/>
      <c r="P141" s="130"/>
      <c r="Q141" s="130"/>
      <c r="R141" s="130"/>
      <c r="S141" s="131"/>
      <c r="T141" s="124"/>
    </row>
    <row r="142" spans="2:20" s="121" customFormat="1" ht="12.75" hidden="1" customHeight="1" x14ac:dyDescent="0.2">
      <c r="B142" s="101">
        <f t="shared" si="19"/>
        <v>0</v>
      </c>
      <c r="C142" s="125"/>
      <c r="D142" s="132"/>
      <c r="E142" s="132"/>
      <c r="F142" s="132"/>
      <c r="G142" s="126"/>
      <c r="H142" s="126"/>
      <c r="I142" s="127"/>
      <c r="J142" s="128"/>
      <c r="K142" s="128"/>
      <c r="L142" s="128"/>
      <c r="M142" s="129"/>
      <c r="N142" s="130"/>
      <c r="O142" s="130"/>
      <c r="P142" s="130"/>
      <c r="Q142" s="130"/>
      <c r="R142" s="130"/>
      <c r="S142" s="131"/>
      <c r="T142" s="124"/>
    </row>
    <row r="143" spans="2:20" s="121" customFormat="1" ht="12.75" hidden="1" customHeight="1" x14ac:dyDescent="0.2">
      <c r="B143" s="101">
        <f t="shared" si="19"/>
        <v>0</v>
      </c>
      <c r="C143" s="125"/>
      <c r="D143" s="132"/>
      <c r="E143" s="132"/>
      <c r="F143" s="132"/>
      <c r="G143" s="126"/>
      <c r="H143" s="126"/>
      <c r="I143" s="127"/>
      <c r="J143" s="128"/>
      <c r="K143" s="128"/>
      <c r="L143" s="128"/>
      <c r="M143" s="129"/>
      <c r="N143" s="130"/>
      <c r="O143" s="130"/>
      <c r="P143" s="130"/>
      <c r="Q143" s="130"/>
      <c r="R143" s="130"/>
      <c r="S143" s="131"/>
      <c r="T143" s="124"/>
    </row>
    <row r="144" spans="2:20" s="121" customFormat="1" ht="12.75" hidden="1" customHeight="1" x14ac:dyDescent="0.2">
      <c r="B144" s="101">
        <f t="shared" si="19"/>
        <v>0</v>
      </c>
      <c r="C144" s="125"/>
      <c r="D144" s="132"/>
      <c r="E144" s="132"/>
      <c r="F144" s="132"/>
      <c r="G144" s="126"/>
      <c r="H144" s="126"/>
      <c r="I144" s="127"/>
      <c r="J144" s="128"/>
      <c r="K144" s="128"/>
      <c r="L144" s="128"/>
      <c r="M144" s="129"/>
      <c r="N144" s="130"/>
      <c r="O144" s="130"/>
      <c r="P144" s="130"/>
      <c r="Q144" s="130"/>
      <c r="R144" s="130"/>
      <c r="S144" s="131"/>
      <c r="T144" s="124"/>
    </row>
    <row r="145" spans="1:23" s="121" customFormat="1" ht="12.75" hidden="1" customHeight="1" x14ac:dyDescent="0.2">
      <c r="B145" s="101">
        <f>M145</f>
        <v>0</v>
      </c>
      <c r="C145" s="125"/>
      <c r="D145" s="132"/>
      <c r="E145" s="132"/>
      <c r="F145" s="132"/>
      <c r="G145" s="126"/>
      <c r="H145" s="126"/>
      <c r="I145" s="127"/>
      <c r="J145" s="128"/>
      <c r="K145" s="128"/>
      <c r="L145" s="128"/>
      <c r="M145" s="129"/>
      <c r="N145" s="130"/>
      <c r="O145" s="130"/>
      <c r="P145" s="130"/>
      <c r="Q145" s="130"/>
      <c r="R145" s="130"/>
      <c r="S145" s="131"/>
      <c r="T145" s="124"/>
    </row>
    <row r="146" spans="1:23" s="121" customFormat="1" ht="14.25" x14ac:dyDescent="0.2">
      <c r="B146" s="101"/>
      <c r="C146" s="108" t="s">
        <v>9</v>
      </c>
      <c r="D146" s="133">
        <f t="shared" ref="D146:I146" si="20">SUM(D46:D145)</f>
        <v>8.659739592076221E-15</v>
      </c>
      <c r="E146" s="133">
        <f t="shared" si="20"/>
        <v>0</v>
      </c>
      <c r="F146" s="133">
        <f t="shared" si="20"/>
        <v>24</v>
      </c>
      <c r="G146" s="133">
        <f t="shared" si="20"/>
        <v>111.63999999999999</v>
      </c>
      <c r="H146" s="133">
        <f t="shared" si="20"/>
        <v>48.389999999999993</v>
      </c>
      <c r="I146" s="133">
        <f t="shared" si="20"/>
        <v>0</v>
      </c>
      <c r="J146" s="134"/>
      <c r="K146" s="135"/>
      <c r="L146" s="136" t="s">
        <v>76</v>
      </c>
      <c r="M146" s="137">
        <f>MAX(M46:M145)</f>
        <v>198.15120000000002</v>
      </c>
      <c r="N146" s="133">
        <f>SUM(N46:N145)</f>
        <v>-7.1054273576010019E-15</v>
      </c>
      <c r="O146" s="133">
        <f>SUM(O46:O145)</f>
        <v>0</v>
      </c>
      <c r="P146" s="133">
        <f>SUM(P46:P145)</f>
        <v>111.64</v>
      </c>
      <c r="Q146" s="133">
        <f>SUM(Q46:Q145)</f>
        <v>48.389999999999993</v>
      </c>
      <c r="R146" s="133">
        <f>SUM(R46:R145)</f>
        <v>1.3322676295501878E-15</v>
      </c>
      <c r="S146" s="138"/>
      <c r="T146" s="124"/>
    </row>
    <row r="147" spans="1:23" s="121" customFormat="1" ht="14.25" x14ac:dyDescent="0.25">
      <c r="B147" s="101"/>
      <c r="C147" s="98"/>
      <c r="D147" s="98"/>
      <c r="E147" s="98"/>
      <c r="F147" s="98"/>
      <c r="G147" s="98"/>
      <c r="H147" s="98"/>
      <c r="I147" s="124"/>
      <c r="J147" s="98"/>
      <c r="K147" s="98"/>
      <c r="L147" s="139" t="s">
        <v>77</v>
      </c>
      <c r="M147" s="140">
        <f>MIN(M46:M145)</f>
        <v>198.15120000000002</v>
      </c>
      <c r="N147" s="172" t="s">
        <v>25</v>
      </c>
      <c r="O147" s="172"/>
      <c r="P147" s="172"/>
      <c r="Q147" s="172"/>
      <c r="R147" s="172"/>
      <c r="S147" s="120"/>
      <c r="T147" s="124"/>
    </row>
    <row r="148" spans="1:23" s="121" customFormat="1" ht="14.25" x14ac:dyDescent="0.25">
      <c r="B148" s="101"/>
      <c r="C148" s="98"/>
      <c r="D148" s="98"/>
      <c r="E148" s="98"/>
      <c r="F148" s="98"/>
      <c r="G148" s="98"/>
      <c r="H148" s="98"/>
      <c r="I148" s="124"/>
      <c r="J148" s="98"/>
      <c r="K148" s="98"/>
      <c r="L148" s="139" t="s">
        <v>111</v>
      </c>
      <c r="M148" s="141">
        <f>SQRT(SUMSQ(L31:L32))/G42</f>
        <v>0</v>
      </c>
      <c r="N148" s="142">
        <f>D151</f>
        <v>3.6082248300317588E-16</v>
      </c>
      <c r="O148" s="143">
        <f>MAX(E159:E163)</f>
        <v>2.4</v>
      </c>
      <c r="P148" s="144" t="s">
        <v>3</v>
      </c>
      <c r="Q148" s="142">
        <f>D152</f>
        <v>0</v>
      </c>
      <c r="R148" s="143">
        <f>MAX(D159:D163)</f>
        <v>3.65</v>
      </c>
      <c r="S148" s="145"/>
      <c r="T148" s="124"/>
    </row>
    <row r="149" spans="1:23" s="121" customFormat="1" x14ac:dyDescent="0.2">
      <c r="B149" s="101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42">
        <f>D151</f>
        <v>3.6082248300317588E-16</v>
      </c>
      <c r="O149" s="143">
        <f>MIN(E159:E163)</f>
        <v>-2.4</v>
      </c>
      <c r="P149" s="144" t="s">
        <v>4</v>
      </c>
      <c r="Q149" s="142">
        <f>D152</f>
        <v>0</v>
      </c>
      <c r="R149" s="143">
        <f>MIN(D159:D163)</f>
        <v>-3.65</v>
      </c>
      <c r="S149" s="145"/>
      <c r="T149" s="124"/>
    </row>
    <row r="150" spans="1:23" s="121" customFormat="1" ht="12.75" hidden="1" customHeight="1" x14ac:dyDescent="0.2">
      <c r="B150" s="101"/>
      <c r="C150" s="173" t="s">
        <v>17</v>
      </c>
      <c r="D150" s="173"/>
      <c r="E150" s="173"/>
      <c r="F150" s="173"/>
      <c r="G150" s="173"/>
      <c r="H150" s="173" t="s">
        <v>18</v>
      </c>
      <c r="I150" s="173"/>
      <c r="J150" s="173"/>
      <c r="K150" s="173"/>
      <c r="L150" s="173"/>
      <c r="M150" s="147"/>
      <c r="N150" s="124"/>
      <c r="O150" s="124"/>
      <c r="P150" s="124"/>
      <c r="Q150" s="124"/>
      <c r="R150" s="124"/>
      <c r="S150" s="124"/>
      <c r="T150" s="124"/>
    </row>
    <row r="151" spans="1:23" s="121" customFormat="1" ht="14.25" hidden="1" customHeight="1" x14ac:dyDescent="0.25">
      <c r="B151" s="101"/>
      <c r="C151" s="118" t="s">
        <v>78</v>
      </c>
      <c r="D151" s="148">
        <f>SUMPRODUCT(D46:D145,F46:F145)/F146</f>
        <v>3.6082248300317588E-16</v>
      </c>
      <c r="E151" s="98"/>
      <c r="F151" s="98"/>
      <c r="G151" s="124"/>
      <c r="H151" s="118" t="s">
        <v>79</v>
      </c>
      <c r="I151" s="149">
        <f>Q146</f>
        <v>48.389999999999993</v>
      </c>
      <c r="J151" s="98"/>
      <c r="K151" s="98"/>
      <c r="L151" s="119"/>
      <c r="M151" s="147"/>
      <c r="N151" s="124"/>
      <c r="O151" s="124"/>
      <c r="P151" s="124"/>
      <c r="Q151" s="124"/>
      <c r="R151" s="124"/>
      <c r="S151" s="124"/>
      <c r="T151" s="124"/>
    </row>
    <row r="152" spans="1:23" s="121" customFormat="1" ht="14.25" hidden="1" customHeight="1" x14ac:dyDescent="0.25">
      <c r="B152" s="101"/>
      <c r="C152" s="118" t="s">
        <v>80</v>
      </c>
      <c r="D152" s="148">
        <f>SUMPRODUCT(E46:E145,F46:F145)/F146</f>
        <v>0</v>
      </c>
      <c r="E152" s="98"/>
      <c r="F152" s="98"/>
      <c r="G152" s="124"/>
      <c r="H152" s="118" t="s">
        <v>81</v>
      </c>
      <c r="I152" s="149">
        <f>P146</f>
        <v>111.64</v>
      </c>
      <c r="J152" s="98"/>
      <c r="K152" s="98"/>
      <c r="L152" s="119"/>
      <c r="M152" s="147"/>
      <c r="N152" s="124"/>
      <c r="O152" s="124"/>
      <c r="P152" s="124"/>
      <c r="Q152" s="124"/>
      <c r="R152" s="124"/>
      <c r="S152" s="124"/>
      <c r="T152" s="124"/>
    </row>
    <row r="153" spans="1:23" s="121" customFormat="1" ht="14.25" hidden="1" customHeight="1" x14ac:dyDescent="0.25">
      <c r="B153" s="101"/>
      <c r="C153" s="98"/>
      <c r="D153" s="98"/>
      <c r="E153" s="98"/>
      <c r="F153" s="98"/>
      <c r="G153" s="124"/>
      <c r="H153" s="118" t="s">
        <v>82</v>
      </c>
      <c r="I153" s="149">
        <f>R146</f>
        <v>1.3322676295501878E-15</v>
      </c>
      <c r="J153" s="98"/>
      <c r="K153" s="98"/>
      <c r="L153" s="119"/>
      <c r="M153" s="147"/>
      <c r="N153" s="124"/>
      <c r="O153" s="124"/>
      <c r="P153" s="124"/>
      <c r="Q153" s="124"/>
      <c r="R153" s="124"/>
      <c r="S153" s="124"/>
      <c r="T153" s="124"/>
    </row>
    <row r="154" spans="1:23" s="121" customFormat="1" ht="23.25" customHeight="1" x14ac:dyDescent="0.3">
      <c r="B154" s="170" t="s">
        <v>107</v>
      </c>
      <c r="C154" s="170"/>
      <c r="D154" s="170"/>
      <c r="E154" s="170"/>
      <c r="F154" s="170"/>
      <c r="G154" s="170"/>
      <c r="H154" s="170"/>
      <c r="I154" s="170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50"/>
    </row>
    <row r="155" spans="1:23" s="121" customFormat="1" ht="15.75" customHeight="1" x14ac:dyDescent="0.2">
      <c r="B155" s="151"/>
      <c r="C155" s="151"/>
      <c r="D155" s="151"/>
      <c r="E155" s="151"/>
      <c r="F155" s="151"/>
      <c r="G155" s="151"/>
      <c r="H155" s="151"/>
      <c r="I155" s="151"/>
      <c r="J155" s="151" t="s">
        <v>3</v>
      </c>
      <c r="K155" s="151" t="s">
        <v>4</v>
      </c>
      <c r="L155" s="151"/>
      <c r="M155" s="124"/>
      <c r="N155" s="124"/>
      <c r="O155" s="124"/>
      <c r="P155" s="124"/>
      <c r="Q155" s="124"/>
      <c r="R155" s="124"/>
      <c r="S155" s="124"/>
      <c r="T155" s="124"/>
    </row>
    <row r="156" spans="1:23" s="121" customFormat="1" x14ac:dyDescent="0.2">
      <c r="B156" s="151"/>
      <c r="C156" s="151" t="s">
        <v>19</v>
      </c>
      <c r="D156" s="151"/>
      <c r="E156" s="151"/>
      <c r="F156" s="151"/>
      <c r="G156" s="151"/>
      <c r="H156" s="151">
        <f>M146</f>
        <v>198.15120000000002</v>
      </c>
      <c r="I156" s="151" t="s">
        <v>0</v>
      </c>
      <c r="J156" s="151">
        <f>VLOOKUP(H156,B46:M145,3,FALSE)</f>
        <v>-3.15</v>
      </c>
      <c r="K156" s="151">
        <f>VLOOKUP(H156,B46:M145,4,FALSE)</f>
        <v>1.9</v>
      </c>
      <c r="L156" s="151">
        <f>VLOOKUP(H156,B46:M145,2,FALSE)</f>
        <v>1</v>
      </c>
      <c r="M156" s="101"/>
      <c r="N156" s="124"/>
      <c r="O156" s="124"/>
      <c r="P156" s="124"/>
      <c r="Q156" s="124"/>
      <c r="R156" s="124"/>
      <c r="S156" s="124"/>
      <c r="T156" s="124"/>
    </row>
    <row r="157" spans="1:23" s="121" customFormat="1" x14ac:dyDescent="0.2">
      <c r="B157" s="151"/>
      <c r="C157" s="151" t="s">
        <v>20</v>
      </c>
      <c r="D157" s="151"/>
      <c r="E157" s="151"/>
      <c r="F157" s="151"/>
      <c r="G157" s="151"/>
      <c r="H157" s="151">
        <f>M147</f>
        <v>198.15120000000002</v>
      </c>
      <c r="I157" s="151" t="s">
        <v>0</v>
      </c>
      <c r="J157" s="151">
        <f>VLOOKUP(H157,B46:M145,3,FALSE)</f>
        <v>-3.15</v>
      </c>
      <c r="K157" s="151">
        <f>VLOOKUP(H157,B46:M145,4,FALSE)</f>
        <v>1.9</v>
      </c>
      <c r="L157" s="151">
        <f>VLOOKUP(H157,B46:M145,2,FALSE)</f>
        <v>1</v>
      </c>
      <c r="M157" s="98"/>
      <c r="N157" s="98"/>
      <c r="O157" s="124"/>
      <c r="P157" s="124"/>
      <c r="Q157" s="124"/>
      <c r="R157" s="124"/>
      <c r="S157" s="124"/>
      <c r="T157" s="124"/>
    </row>
    <row r="158" spans="1:23" s="98" customFormat="1" x14ac:dyDescent="0.2">
      <c r="A158" s="97"/>
      <c r="B158" s="101"/>
      <c r="C158" s="151" t="s">
        <v>10</v>
      </c>
      <c r="D158" s="151" t="s">
        <v>3</v>
      </c>
      <c r="E158" s="151" t="s">
        <v>4</v>
      </c>
      <c r="F158" s="152"/>
      <c r="U158" s="97"/>
      <c r="V158" s="97"/>
      <c r="W158" s="97"/>
    </row>
    <row r="159" spans="1:23" s="98" customFormat="1" x14ac:dyDescent="0.2">
      <c r="A159" s="97"/>
      <c r="B159" s="101"/>
      <c r="C159" s="151">
        <v>1</v>
      </c>
      <c r="D159" s="153">
        <f>L5/2</f>
        <v>3.65</v>
      </c>
      <c r="E159" s="153">
        <f>L6/2</f>
        <v>2.4</v>
      </c>
      <c r="U159" s="97"/>
      <c r="V159" s="97"/>
      <c r="W159" s="97"/>
    </row>
    <row r="160" spans="1:23" s="98" customFormat="1" x14ac:dyDescent="0.2">
      <c r="A160" s="97"/>
      <c r="B160" s="101"/>
      <c r="C160" s="151">
        <v>2</v>
      </c>
      <c r="D160" s="153">
        <f>L5/2</f>
        <v>3.65</v>
      </c>
      <c r="E160" s="153">
        <f>E159-L6</f>
        <v>-2.4</v>
      </c>
      <c r="U160" s="97"/>
      <c r="V160" s="97"/>
      <c r="W160" s="97"/>
    </row>
    <row r="161" spans="1:23" s="98" customFormat="1" x14ac:dyDescent="0.2">
      <c r="A161" s="97"/>
      <c r="B161" s="101"/>
      <c r="C161" s="151">
        <v>3</v>
      </c>
      <c r="D161" s="153">
        <f>D160-L5</f>
        <v>-3.65</v>
      </c>
      <c r="E161" s="153">
        <f>E159-L6</f>
        <v>-2.4</v>
      </c>
      <c r="U161" s="97"/>
      <c r="V161" s="97"/>
      <c r="W161" s="97"/>
    </row>
    <row r="162" spans="1:23" s="98" customFormat="1" x14ac:dyDescent="0.2">
      <c r="A162" s="97"/>
      <c r="B162" s="101"/>
      <c r="C162" s="151">
        <v>4</v>
      </c>
      <c r="D162" s="153">
        <f>D160-L5</f>
        <v>-3.65</v>
      </c>
      <c r="E162" s="153">
        <f>L6/2</f>
        <v>2.4</v>
      </c>
      <c r="U162" s="97"/>
      <c r="V162" s="97"/>
      <c r="W162" s="97"/>
    </row>
    <row r="163" spans="1:23" s="98" customFormat="1" ht="18" x14ac:dyDescent="0.2">
      <c r="A163" s="97"/>
      <c r="B163" s="101"/>
      <c r="C163" s="151">
        <v>5</v>
      </c>
      <c r="D163" s="153">
        <f>D159</f>
        <v>3.65</v>
      </c>
      <c r="E163" s="153">
        <f>E159</f>
        <v>2.4</v>
      </c>
      <c r="N163" s="154" t="s">
        <v>109</v>
      </c>
      <c r="O163" s="155">
        <f>$M$146</f>
        <v>198.15120000000002</v>
      </c>
      <c r="P163" s="156" t="s">
        <v>8</v>
      </c>
      <c r="U163" s="97"/>
      <c r="V163" s="97"/>
      <c r="W163" s="97"/>
    </row>
    <row r="164" spans="1:23" s="98" customFormat="1" ht="18" x14ac:dyDescent="0.3">
      <c r="A164" s="97"/>
      <c r="B164" s="101"/>
      <c r="N164" s="157" t="s">
        <v>110</v>
      </c>
      <c r="O164" s="158">
        <f>$M$147</f>
        <v>198.15120000000002</v>
      </c>
      <c r="P164" s="159" t="s">
        <v>8</v>
      </c>
      <c r="U164" s="97"/>
      <c r="V164" s="97"/>
      <c r="W164" s="97"/>
    </row>
    <row r="165" spans="1:23" s="98" customFormat="1" ht="18" x14ac:dyDescent="0.3">
      <c r="A165" s="97"/>
      <c r="B165" s="101"/>
      <c r="M165" s="160"/>
      <c r="N165" s="161" t="s">
        <v>112</v>
      </c>
      <c r="O165" s="162">
        <f>$M$148</f>
        <v>0</v>
      </c>
      <c r="P165" s="163" t="s">
        <v>8</v>
      </c>
      <c r="Q165" s="160"/>
      <c r="U165" s="97"/>
      <c r="V165" s="97"/>
      <c r="W165" s="97"/>
    </row>
    <row r="166" spans="1:23" s="98" customFormat="1" x14ac:dyDescent="0.2">
      <c r="A166" s="97"/>
      <c r="B166" s="101"/>
      <c r="U166" s="97"/>
      <c r="V166" s="97"/>
      <c r="W166" s="97"/>
    </row>
    <row r="167" spans="1:23" s="98" customFormat="1" x14ac:dyDescent="0.2">
      <c r="A167" s="97"/>
      <c r="B167" s="101"/>
      <c r="U167" s="97"/>
      <c r="V167" s="97"/>
      <c r="W167" s="97"/>
    </row>
    <row r="168" spans="1:23" s="98" customFormat="1" x14ac:dyDescent="0.2">
      <c r="A168" s="97"/>
      <c r="B168" s="101"/>
      <c r="U168" s="97"/>
      <c r="V168" s="97"/>
      <c r="W168" s="97"/>
    </row>
    <row r="169" spans="1:23" s="98" customFormat="1" x14ac:dyDescent="0.2">
      <c r="A169" s="97"/>
      <c r="B169" s="101"/>
      <c r="U169" s="97"/>
      <c r="V169" s="97"/>
      <c r="W169" s="97"/>
    </row>
    <row r="170" spans="1:23" s="98" customFormat="1" x14ac:dyDescent="0.2">
      <c r="A170" s="97"/>
      <c r="B170" s="101"/>
      <c r="U170" s="97"/>
      <c r="V170" s="97"/>
      <c r="W170" s="97"/>
    </row>
    <row r="171" spans="1:23" s="98" customFormat="1" x14ac:dyDescent="0.2">
      <c r="A171" s="97"/>
      <c r="B171" s="101"/>
      <c r="U171" s="97"/>
      <c r="V171" s="97"/>
      <c r="W171" s="97"/>
    </row>
    <row r="172" spans="1:23" s="98" customFormat="1" x14ac:dyDescent="0.2">
      <c r="A172" s="97"/>
      <c r="B172" s="101"/>
      <c r="U172" s="97"/>
      <c r="V172" s="97"/>
      <c r="W172" s="97"/>
    </row>
    <row r="173" spans="1:23" s="98" customFormat="1" x14ac:dyDescent="0.2">
      <c r="A173" s="97"/>
      <c r="B173" s="101"/>
      <c r="U173" s="97"/>
      <c r="V173" s="97"/>
      <c r="W173" s="97"/>
    </row>
    <row r="174" spans="1:23" s="98" customFormat="1" x14ac:dyDescent="0.2">
      <c r="A174" s="97"/>
      <c r="B174" s="101"/>
      <c r="U174" s="97"/>
      <c r="V174" s="97"/>
      <c r="W174" s="97"/>
    </row>
    <row r="175" spans="1:23" s="98" customFormat="1" x14ac:dyDescent="0.2">
      <c r="A175" s="97"/>
      <c r="B175" s="101"/>
      <c r="U175" s="97"/>
      <c r="V175" s="97"/>
      <c r="W175" s="97"/>
    </row>
    <row r="176" spans="1:23" s="98" customFormat="1" x14ac:dyDescent="0.2">
      <c r="A176" s="97"/>
      <c r="B176" s="101"/>
      <c r="U176" s="97"/>
      <c r="V176" s="97"/>
      <c r="W176" s="97"/>
    </row>
    <row r="177" spans="1:23" s="98" customFormat="1" x14ac:dyDescent="0.2">
      <c r="A177" s="97"/>
      <c r="B177" s="101"/>
      <c r="U177" s="97"/>
      <c r="V177" s="97"/>
      <c r="W177" s="97"/>
    </row>
    <row r="178" spans="1:23" s="98" customFormat="1" x14ac:dyDescent="0.2">
      <c r="A178" s="97"/>
      <c r="B178" s="101"/>
      <c r="U178" s="97"/>
      <c r="V178" s="97"/>
      <c r="W178" s="97"/>
    </row>
    <row r="179" spans="1:23" s="98" customFormat="1" x14ac:dyDescent="0.2">
      <c r="A179" s="97"/>
      <c r="B179" s="101"/>
      <c r="U179" s="97"/>
      <c r="V179" s="97"/>
      <c r="W179" s="97"/>
    </row>
    <row r="180" spans="1:23" s="98" customFormat="1" x14ac:dyDescent="0.2">
      <c r="A180" s="97"/>
      <c r="B180" s="101"/>
      <c r="U180" s="97"/>
      <c r="V180" s="97"/>
      <c r="W180" s="97"/>
    </row>
    <row r="181" spans="1:23" s="98" customFormat="1" x14ac:dyDescent="0.2">
      <c r="A181" s="97"/>
      <c r="B181" s="101"/>
      <c r="U181" s="97"/>
      <c r="V181" s="97"/>
      <c r="W181" s="97"/>
    </row>
    <row r="182" spans="1:23" s="98" customFormat="1" x14ac:dyDescent="0.2">
      <c r="A182" s="97"/>
      <c r="B182" s="101"/>
      <c r="U182" s="97"/>
      <c r="V182" s="97"/>
      <c r="W182" s="97"/>
    </row>
    <row r="183" spans="1:23" s="98" customFormat="1" x14ac:dyDescent="0.2">
      <c r="A183" s="97"/>
      <c r="B183" s="101"/>
      <c r="U183" s="97"/>
      <c r="V183" s="97"/>
      <c r="W183" s="97"/>
    </row>
    <row r="184" spans="1:23" s="98" customFormat="1" x14ac:dyDescent="0.2">
      <c r="A184" s="97"/>
      <c r="B184" s="101"/>
      <c r="U184" s="97"/>
      <c r="V184" s="97"/>
      <c r="W184" s="97"/>
    </row>
    <row r="185" spans="1:23" s="98" customFormat="1" x14ac:dyDescent="0.2">
      <c r="A185" s="97"/>
      <c r="B185" s="101"/>
      <c r="U185" s="97"/>
      <c r="V185" s="97"/>
      <c r="W185" s="97"/>
    </row>
    <row r="186" spans="1:23" s="98" customFormat="1" x14ac:dyDescent="0.2">
      <c r="A186" s="97"/>
      <c r="B186" s="101"/>
      <c r="U186" s="97"/>
      <c r="V186" s="97"/>
      <c r="W186" s="97"/>
    </row>
    <row r="187" spans="1:23" s="98" customFormat="1" x14ac:dyDescent="0.2">
      <c r="A187" s="97"/>
      <c r="B187" s="101"/>
      <c r="U187" s="97"/>
      <c r="V187" s="97"/>
      <c r="W187" s="97"/>
    </row>
    <row r="188" spans="1:23" s="98" customFormat="1" ht="12.75" hidden="1" customHeight="1" x14ac:dyDescent="0.2">
      <c r="A188" s="97"/>
      <c r="B188" s="101"/>
      <c r="U188" s="97"/>
      <c r="V188" s="97"/>
      <c r="W188" s="97"/>
    </row>
    <row r="189" spans="1:23" s="98" customFormat="1" x14ac:dyDescent="0.2">
      <c r="A189" s="97"/>
      <c r="B189" s="101"/>
      <c r="U189" s="97"/>
      <c r="V189" s="97"/>
      <c r="W189" s="97"/>
    </row>
    <row r="190" spans="1:23" s="98" customFormat="1" x14ac:dyDescent="0.2">
      <c r="A190" s="97"/>
      <c r="B190" s="106"/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U190" s="97"/>
      <c r="V190" s="97"/>
      <c r="W190" s="97"/>
    </row>
    <row r="191" spans="1:23" s="98" customFormat="1" x14ac:dyDescent="0.2">
      <c r="A191" s="97"/>
      <c r="B191" s="106"/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U191" s="97"/>
      <c r="V191" s="97"/>
      <c r="W191" s="97"/>
    </row>
    <row r="192" spans="1:23" s="98" customFormat="1" x14ac:dyDescent="0.2">
      <c r="A192" s="97"/>
      <c r="B192" s="106"/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U192" s="97"/>
      <c r="V192" s="97"/>
      <c r="W192" s="97"/>
    </row>
    <row r="193" spans="1:23" s="98" customFormat="1" x14ac:dyDescent="0.2">
      <c r="A193" s="97"/>
      <c r="B193" s="106"/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U193" s="97"/>
      <c r="V193" s="97"/>
      <c r="W193" s="97"/>
    </row>
    <row r="194" spans="1:23" s="98" customFormat="1" x14ac:dyDescent="0.2">
      <c r="A194" s="97"/>
      <c r="B194" s="106"/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U194" s="97"/>
      <c r="V194" s="97"/>
      <c r="W194" s="97"/>
    </row>
    <row r="195" spans="1:23" s="98" customFormat="1" x14ac:dyDescent="0.2">
      <c r="A195" s="97"/>
      <c r="B195" s="106"/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U195" s="97"/>
      <c r="V195" s="97"/>
      <c r="W195" s="97"/>
    </row>
    <row r="196" spans="1:23" s="98" customFormat="1" x14ac:dyDescent="0.2">
      <c r="A196" s="97"/>
      <c r="B196" s="106"/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U196" s="97"/>
      <c r="V196" s="97"/>
      <c r="W196" s="97"/>
    </row>
    <row r="197" spans="1:23" s="98" customFormat="1" x14ac:dyDescent="0.2">
      <c r="A197" s="97"/>
      <c r="B197" s="106"/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U197" s="97"/>
      <c r="V197" s="97"/>
      <c r="W197" s="97"/>
    </row>
    <row r="198" spans="1:23" s="98" customFormat="1" x14ac:dyDescent="0.2">
      <c r="A198" s="97"/>
      <c r="B198" s="106"/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U198" s="97"/>
      <c r="V198" s="97"/>
      <c r="W198" s="97"/>
    </row>
    <row r="199" spans="1:23" s="98" customFormat="1" x14ac:dyDescent="0.2">
      <c r="A199" s="97"/>
      <c r="B199" s="106"/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U199" s="97"/>
      <c r="V199" s="97"/>
      <c r="W199" s="97"/>
    </row>
    <row r="200" spans="1:23" x14ac:dyDescent="0.2">
      <c r="B200" s="106"/>
    </row>
  </sheetData>
  <mergeCells count="27">
    <mergeCell ref="B3:S3"/>
    <mergeCell ref="AC9:AC11"/>
    <mergeCell ref="AD9:AD11"/>
    <mergeCell ref="AE9:AE11"/>
    <mergeCell ref="AC18:AC20"/>
    <mergeCell ref="AD18:AD20"/>
    <mergeCell ref="AE18:AE20"/>
    <mergeCell ref="C25:H26"/>
    <mergeCell ref="C38:G38"/>
    <mergeCell ref="C27:G27"/>
    <mergeCell ref="C28:G28"/>
    <mergeCell ref="C29:G29"/>
    <mergeCell ref="C30:G30"/>
    <mergeCell ref="C31:G31"/>
    <mergeCell ref="C32:G32"/>
    <mergeCell ref="C33:G33"/>
    <mergeCell ref="C34:G34"/>
    <mergeCell ref="C35:G35"/>
    <mergeCell ref="C36:G36"/>
    <mergeCell ref="C37:G37"/>
    <mergeCell ref="B154:S154"/>
    <mergeCell ref="C40:M40"/>
    <mergeCell ref="C42:E42"/>
    <mergeCell ref="N42:R43"/>
    <mergeCell ref="N147:R147"/>
    <mergeCell ref="C150:G150"/>
    <mergeCell ref="H150:L150"/>
  </mergeCells>
  <conditionalFormatting sqref="Y1:Y3 Y1166:Y1048576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1:AA3 AA1166:AA104857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1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:AA6 W8:AA11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2:W17 Y12:AA1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AA24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:AA7 W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O19">
      <formula1>$O$16:$O$17</formula1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9" scale="75" fitToHeight="0" orientation="landscape" r:id="rId1"/>
  <headerFooter scaleWithDoc="0" alignWithMargins="0"/>
  <rowBreaks count="2" manualBreakCount="2">
    <brk id="38" min="1" max="19" man="1"/>
    <brk id="149" min="1" max="19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pageSetUpPr fitToPage="1"/>
  </sheetPr>
  <dimension ref="A2:AE200"/>
  <sheetViews>
    <sheetView view="pageBreakPreview" topLeftCell="A2" zoomScaleNormal="100" zoomScaleSheetLayoutView="100" workbookViewId="0">
      <selection activeCell="L5" sqref="L5:L6"/>
    </sheetView>
  </sheetViews>
  <sheetFormatPr defaultRowHeight="12.75" x14ac:dyDescent="0.2"/>
  <cols>
    <col min="1" max="1" width="2.7109375" style="51" customWidth="1"/>
    <col min="2" max="2" width="2.140625" style="50" customWidth="1"/>
    <col min="3" max="3" width="14.140625" style="50" customWidth="1"/>
    <col min="4" max="4" width="9.5703125" style="50" customWidth="1"/>
    <col min="5" max="6" width="10.5703125" style="50" customWidth="1"/>
    <col min="7" max="7" width="8.140625" style="50" customWidth="1"/>
    <col min="8" max="8" width="9.140625" style="50" customWidth="1"/>
    <col min="9" max="9" width="14.85546875" style="50" customWidth="1"/>
    <col min="10" max="10" width="34" style="50" customWidth="1"/>
    <col min="11" max="11" width="8.7109375" style="50" customWidth="1"/>
    <col min="12" max="12" width="10.7109375" style="50" customWidth="1"/>
    <col min="13" max="13" width="9.28515625" style="50" customWidth="1"/>
    <col min="14" max="14" width="13.7109375" style="50" bestFit="1" customWidth="1"/>
    <col min="15" max="15" width="9.140625" style="50" bestFit="1" customWidth="1"/>
    <col min="16" max="16" width="8.140625" style="50" customWidth="1"/>
    <col min="17" max="17" width="9.140625" style="50" customWidth="1"/>
    <col min="18" max="18" width="7.140625" style="50" customWidth="1"/>
    <col min="19" max="19" width="2.28515625" style="50" customWidth="1"/>
    <col min="20" max="20" width="1.7109375" style="3" customWidth="1"/>
    <col min="21" max="21" width="14.140625" style="50" customWidth="1"/>
    <col min="22" max="22" width="14.140625" style="50" bestFit="1" customWidth="1"/>
    <col min="23" max="16384" width="9.140625" style="50"/>
  </cols>
  <sheetData>
    <row r="2" spans="2:31" ht="15" customHeight="1" x14ac:dyDescent="0.2"/>
    <row r="3" spans="2:31" ht="30.75" customHeight="1" thickBot="1" x14ac:dyDescent="0.35">
      <c r="B3" s="189" t="s">
        <v>30</v>
      </c>
      <c r="C3" s="189"/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</row>
    <row r="4" spans="2:31" ht="15" customHeight="1" x14ac:dyDescent="0.2">
      <c r="C4" s="40" t="s">
        <v>38</v>
      </c>
      <c r="D4" s="40"/>
      <c r="E4" s="40"/>
      <c r="F4" s="40"/>
      <c r="G4" s="40"/>
      <c r="H4" s="40"/>
      <c r="I4" s="40"/>
      <c r="J4" s="40" t="s">
        <v>39</v>
      </c>
      <c r="K4" s="40"/>
      <c r="L4" s="40"/>
      <c r="M4" s="40"/>
      <c r="N4" s="40"/>
      <c r="O4" s="40"/>
      <c r="P4" s="40"/>
      <c r="Q4" s="40"/>
      <c r="R4" s="40"/>
      <c r="S4" s="40"/>
      <c r="W4" s="75"/>
      <c r="X4" s="76"/>
      <c r="Y4" s="76"/>
      <c r="Z4" s="76"/>
      <c r="AA4" s="76"/>
    </row>
    <row r="5" spans="2:31" ht="15" customHeight="1" x14ac:dyDescent="0.2">
      <c r="B5" s="3"/>
      <c r="C5" s="46"/>
      <c r="D5" s="46"/>
      <c r="E5" s="3"/>
      <c r="F5" s="46"/>
      <c r="G5" s="46"/>
      <c r="H5" s="3"/>
      <c r="I5" s="46"/>
      <c r="J5" s="3" t="s">
        <v>63</v>
      </c>
      <c r="K5" s="3" t="s">
        <v>32</v>
      </c>
      <c r="L5" s="42">
        <v>4.5999999999999996</v>
      </c>
      <c r="M5" s="3" t="s">
        <v>2</v>
      </c>
      <c r="N5" s="3"/>
      <c r="O5" s="3"/>
      <c r="P5" s="46"/>
      <c r="Q5" s="46"/>
      <c r="R5" s="46"/>
      <c r="S5" s="46"/>
      <c r="T5" s="46"/>
      <c r="W5" s="77" t="s">
        <v>114</v>
      </c>
      <c r="X5" s="78" t="s">
        <v>115</v>
      </c>
      <c r="Y5" s="78" t="s">
        <v>116</v>
      </c>
      <c r="Z5" s="78" t="s">
        <v>117</v>
      </c>
      <c r="AA5" s="78" t="s">
        <v>118</v>
      </c>
    </row>
    <row r="6" spans="2:31" ht="15" customHeight="1" thickBot="1" x14ac:dyDescent="0.25">
      <c r="B6" s="29"/>
      <c r="C6" s="29"/>
      <c r="D6" s="29"/>
      <c r="E6" s="29"/>
      <c r="F6" s="29"/>
      <c r="G6" s="29"/>
      <c r="H6" s="29"/>
      <c r="I6" s="29"/>
      <c r="J6" s="3" t="s">
        <v>64</v>
      </c>
      <c r="K6" s="3" t="s">
        <v>31</v>
      </c>
      <c r="L6" s="42">
        <v>2.8</v>
      </c>
      <c r="M6" s="3" t="s">
        <v>2</v>
      </c>
      <c r="N6" s="3"/>
      <c r="O6" s="3"/>
      <c r="P6" s="46"/>
      <c r="Q6" s="46"/>
      <c r="R6" s="46"/>
      <c r="S6" s="46"/>
      <c r="T6" s="46"/>
      <c r="W6" s="79"/>
      <c r="X6" s="80"/>
      <c r="Y6" s="80"/>
      <c r="Z6" s="80"/>
      <c r="AA6" s="80"/>
    </row>
    <row r="7" spans="2:31" ht="15" customHeight="1" thickBot="1" x14ac:dyDescent="0.3">
      <c r="B7" s="29"/>
      <c r="C7" s="29"/>
      <c r="D7" s="29"/>
      <c r="E7" s="29"/>
      <c r="F7" s="29"/>
      <c r="G7" s="29"/>
      <c r="H7" s="53"/>
      <c r="I7" s="52"/>
      <c r="J7" s="3"/>
      <c r="K7" s="3" t="s">
        <v>103</v>
      </c>
      <c r="L7" s="54">
        <f>(L5*L6^2)/6</f>
        <v>6.0106666666666655</v>
      </c>
      <c r="M7" s="3" t="s">
        <v>104</v>
      </c>
      <c r="N7" s="3"/>
      <c r="O7" s="3"/>
      <c r="P7" s="3"/>
      <c r="Q7" s="3"/>
      <c r="R7" s="3"/>
      <c r="S7" s="3"/>
      <c r="W7" s="85">
        <v>-68.709999999999994</v>
      </c>
      <c r="X7" s="85">
        <v>-2.38</v>
      </c>
      <c r="Y7" s="85">
        <v>5809.16</v>
      </c>
      <c r="Z7" s="85">
        <v>52.94</v>
      </c>
      <c r="AA7" s="85">
        <v>-182.02</v>
      </c>
    </row>
    <row r="8" spans="2:31" ht="15" customHeight="1" thickBot="1" x14ac:dyDescent="0.3">
      <c r="B8" s="29"/>
      <c r="C8" s="29"/>
      <c r="D8" s="29"/>
      <c r="E8" s="29"/>
      <c r="F8" s="29"/>
      <c r="G8" s="29"/>
      <c r="H8" s="53"/>
      <c r="I8" s="52"/>
      <c r="J8" s="3"/>
      <c r="K8" s="3" t="s">
        <v>105</v>
      </c>
      <c r="L8" s="54">
        <f>(L6*L5^2)/6</f>
        <v>9.8746666666666645</v>
      </c>
      <c r="M8" s="3" t="s">
        <v>104</v>
      </c>
      <c r="N8" s="3"/>
      <c r="O8" s="3"/>
      <c r="P8" s="3"/>
      <c r="Q8" s="3"/>
      <c r="R8" s="3"/>
      <c r="S8" s="3"/>
    </row>
    <row r="9" spans="2:31" ht="15" customHeight="1" x14ac:dyDescent="0.2">
      <c r="B9" s="29"/>
      <c r="C9" s="29"/>
      <c r="D9" s="29"/>
      <c r="E9" s="29"/>
      <c r="F9" s="29"/>
      <c r="G9" s="29"/>
      <c r="H9" s="46"/>
      <c r="I9" s="52"/>
      <c r="J9" s="46"/>
      <c r="K9" s="46" t="s">
        <v>33</v>
      </c>
      <c r="L9" s="43">
        <f>L5*L6</f>
        <v>12.879999999999999</v>
      </c>
      <c r="M9" s="3" t="s">
        <v>106</v>
      </c>
      <c r="N9" s="87" t="s">
        <v>128</v>
      </c>
      <c r="O9" s="3"/>
      <c r="P9" s="3"/>
      <c r="Q9" s="3"/>
      <c r="R9" s="3"/>
      <c r="S9" s="3"/>
      <c r="V9" s="75"/>
      <c r="W9" s="76"/>
      <c r="X9" s="76"/>
      <c r="Y9" s="76"/>
      <c r="Z9" s="76"/>
      <c r="AA9" s="76"/>
      <c r="AB9" s="76"/>
      <c r="AC9" s="197" t="s">
        <v>76</v>
      </c>
      <c r="AD9" s="200" t="s">
        <v>77</v>
      </c>
      <c r="AE9" s="203" t="s">
        <v>111</v>
      </c>
    </row>
    <row r="10" spans="2:31" ht="15" customHeight="1" x14ac:dyDescent="0.2">
      <c r="B10" s="29"/>
      <c r="C10" s="29"/>
      <c r="D10" s="55"/>
      <c r="E10" s="55"/>
      <c r="F10" s="55"/>
      <c r="G10" s="55"/>
      <c r="H10" s="53"/>
      <c r="I10" s="52"/>
      <c r="J10" s="3" t="s">
        <v>84</v>
      </c>
      <c r="K10" s="3" t="s">
        <v>34</v>
      </c>
      <c r="L10" s="69">
        <v>2</v>
      </c>
      <c r="M10" s="3" t="s">
        <v>2</v>
      </c>
      <c r="N10" s="3"/>
      <c r="O10" s="3"/>
      <c r="P10" s="3"/>
      <c r="Q10" s="3"/>
      <c r="R10" s="3"/>
      <c r="S10" s="3"/>
      <c r="V10" s="77" t="s">
        <v>113</v>
      </c>
      <c r="W10" s="78" t="s">
        <v>114</v>
      </c>
      <c r="X10" s="78" t="s">
        <v>115</v>
      </c>
      <c r="Y10" s="78" t="s">
        <v>116</v>
      </c>
      <c r="Z10" s="78" t="s">
        <v>117</v>
      </c>
      <c r="AA10" s="78" t="s">
        <v>118</v>
      </c>
      <c r="AB10" s="78" t="s">
        <v>119</v>
      </c>
      <c r="AC10" s="198"/>
      <c r="AD10" s="201"/>
      <c r="AE10" s="204"/>
    </row>
    <row r="11" spans="2:31" ht="15" customHeight="1" thickBot="1" x14ac:dyDescent="0.25">
      <c r="B11" s="29"/>
      <c r="C11" s="29"/>
      <c r="D11" s="29"/>
      <c r="E11" s="29"/>
      <c r="F11" s="29"/>
      <c r="G11" s="29"/>
      <c r="H11" s="29"/>
      <c r="I11" s="29"/>
      <c r="J11" s="51" t="s">
        <v>85</v>
      </c>
      <c r="K11" s="29" t="s">
        <v>35</v>
      </c>
      <c r="L11" s="69">
        <f>L10-L13</f>
        <v>1</v>
      </c>
      <c r="M11" s="3" t="s">
        <v>2</v>
      </c>
      <c r="N11" s="3"/>
      <c r="O11" s="3"/>
      <c r="P11" s="3"/>
      <c r="Q11" s="3"/>
      <c r="R11" s="3"/>
      <c r="S11" s="3"/>
      <c r="V11" s="79"/>
      <c r="W11" s="80"/>
      <c r="X11" s="80"/>
      <c r="Y11" s="80"/>
      <c r="Z11" s="80"/>
      <c r="AA11" s="80"/>
      <c r="AB11" s="80"/>
      <c r="AC11" s="199"/>
      <c r="AD11" s="202"/>
      <c r="AE11" s="205"/>
    </row>
    <row r="12" spans="2:31" ht="15" customHeight="1" thickBot="1" x14ac:dyDescent="0.25">
      <c r="B12" s="29"/>
      <c r="C12" s="29"/>
      <c r="D12" s="29"/>
      <c r="E12" s="29"/>
      <c r="F12" s="29"/>
      <c r="G12" s="29"/>
      <c r="H12" s="29"/>
      <c r="I12" s="29"/>
      <c r="J12" s="29" t="s">
        <v>37</v>
      </c>
      <c r="K12" s="29" t="s">
        <v>36</v>
      </c>
      <c r="L12" s="43">
        <f>L10-L11</f>
        <v>1</v>
      </c>
      <c r="M12" s="3" t="s">
        <v>2</v>
      </c>
      <c r="N12" s="86" t="s">
        <v>76</v>
      </c>
      <c r="O12" s="12" t="s">
        <v>77</v>
      </c>
      <c r="P12" s="12" t="s">
        <v>111</v>
      </c>
      <c r="Q12" s="3"/>
      <c r="R12" s="3"/>
      <c r="S12" s="3"/>
      <c r="V12" s="84" t="s">
        <v>120</v>
      </c>
      <c r="W12" s="85">
        <v>-3.6</v>
      </c>
      <c r="X12" s="85">
        <v>-2.38</v>
      </c>
      <c r="Y12" s="85">
        <v>4962.6499999999996</v>
      </c>
      <c r="Z12" s="85">
        <v>52.94</v>
      </c>
      <c r="AA12" s="85">
        <v>194.61</v>
      </c>
      <c r="AB12" s="85">
        <v>0.63</v>
      </c>
      <c r="AC12" s="81">
        <v>1087.9939444444447</v>
      </c>
      <c r="AD12" s="82">
        <v>1014.4467222222222</v>
      </c>
      <c r="AE12" s="83">
        <v>0.71926660178576662</v>
      </c>
    </row>
    <row r="13" spans="2:31" ht="15" customHeight="1" thickBot="1" x14ac:dyDescent="0.25">
      <c r="B13" s="29"/>
      <c r="C13" s="29"/>
      <c r="D13" s="29"/>
      <c r="E13" s="29"/>
      <c r="F13" s="29"/>
      <c r="G13" s="29"/>
      <c r="H13" s="29"/>
      <c r="I13" s="29"/>
      <c r="J13" s="29" t="s">
        <v>43</v>
      </c>
      <c r="K13" s="29" t="s">
        <v>44</v>
      </c>
      <c r="L13" s="42">
        <v>1</v>
      </c>
      <c r="M13" s="3" t="s">
        <v>2</v>
      </c>
      <c r="N13" s="81">
        <f>O163</f>
        <v>1237.3733888888892</v>
      </c>
      <c r="O13" s="82">
        <f>O164</f>
        <v>1147.2372777777778</v>
      </c>
      <c r="P13" s="83">
        <f>O165</f>
        <v>11.458534543687898</v>
      </c>
      <c r="Q13" s="3"/>
      <c r="R13" s="3"/>
      <c r="S13" s="3"/>
      <c r="V13" s="84" t="s">
        <v>121</v>
      </c>
      <c r="W13" s="85">
        <v>-104.07</v>
      </c>
      <c r="X13" s="85">
        <v>-3.22</v>
      </c>
      <c r="Y13" s="85">
        <v>5245.7</v>
      </c>
      <c r="Z13" s="85">
        <v>71.47</v>
      </c>
      <c r="AA13" s="85">
        <v>-468.73</v>
      </c>
      <c r="AB13" s="85">
        <v>0.85</v>
      </c>
      <c r="AC13" s="81">
        <v>1191.7823703703702</v>
      </c>
      <c r="AD13" s="82">
        <v>1005.0082962962962</v>
      </c>
      <c r="AE13" s="83">
        <v>17.353300438565313</v>
      </c>
    </row>
    <row r="14" spans="2:31" ht="26.25" thickBot="1" x14ac:dyDescent="0.25">
      <c r="B14" s="29"/>
      <c r="C14" s="29"/>
      <c r="D14" s="29"/>
      <c r="E14" s="29"/>
      <c r="F14" s="29"/>
      <c r="G14" s="29"/>
      <c r="H14" s="29"/>
      <c r="I14" s="29"/>
      <c r="J14" s="29" t="s">
        <v>45</v>
      </c>
      <c r="K14" s="29" t="s">
        <v>46</v>
      </c>
      <c r="L14" s="56">
        <f>L10-L13</f>
        <v>1</v>
      </c>
      <c r="M14" s="3" t="s">
        <v>2</v>
      </c>
      <c r="N14" s="3"/>
      <c r="O14" s="3"/>
      <c r="P14" s="3"/>
      <c r="Q14" s="3"/>
      <c r="R14" s="3"/>
      <c r="S14" s="3"/>
      <c r="V14" s="84" t="s">
        <v>122</v>
      </c>
      <c r="W14" s="85">
        <v>-68.709999999999994</v>
      </c>
      <c r="X14" s="85">
        <v>-2.38</v>
      </c>
      <c r="Y14" s="85">
        <v>5809.16</v>
      </c>
      <c r="Z14" s="85">
        <v>52.94</v>
      </c>
      <c r="AA14" s="85">
        <v>-182.02</v>
      </c>
      <c r="AB14" s="85">
        <v>0.63</v>
      </c>
      <c r="AC14" s="81">
        <v>1237.3733888888892</v>
      </c>
      <c r="AD14" s="82">
        <v>1147.2372777777778</v>
      </c>
      <c r="AE14" s="83">
        <v>11.458534543687898</v>
      </c>
    </row>
    <row r="15" spans="2:31" ht="15" customHeight="1" thickBot="1" x14ac:dyDescent="0.25">
      <c r="B15" s="29"/>
      <c r="C15" s="29"/>
      <c r="D15" s="29"/>
      <c r="E15" s="29"/>
      <c r="F15" s="29"/>
      <c r="G15" s="29"/>
      <c r="H15" s="29"/>
      <c r="I15" s="29"/>
      <c r="J15" s="3"/>
      <c r="K15" s="3"/>
      <c r="L15" s="3"/>
      <c r="N15" s="90" t="s">
        <v>129</v>
      </c>
      <c r="O15" s="91" t="s">
        <v>130</v>
      </c>
      <c r="P15" s="92" t="s">
        <v>131</v>
      </c>
      <c r="Q15" s="3"/>
      <c r="R15" s="3"/>
      <c r="S15" s="3"/>
      <c r="V15" s="84" t="s">
        <v>123</v>
      </c>
      <c r="W15" s="85">
        <v>-79</v>
      </c>
      <c r="X15" s="85">
        <v>-3.22</v>
      </c>
      <c r="Y15" s="85">
        <v>6980.99</v>
      </c>
      <c r="Z15" s="85">
        <v>71.47</v>
      </c>
      <c r="AA15" s="85">
        <v>-208.14</v>
      </c>
      <c r="AB15" s="85">
        <v>0.85</v>
      </c>
      <c r="AC15" s="81">
        <v>1441.3223703703702</v>
      </c>
      <c r="AD15" s="82">
        <v>1333.8982962962964</v>
      </c>
      <c r="AE15" s="83">
        <v>13.177599258674633</v>
      </c>
    </row>
    <row r="16" spans="2:31" ht="15" customHeight="1" thickBot="1" x14ac:dyDescent="0.25">
      <c r="B16" s="29"/>
      <c r="C16" s="29"/>
      <c r="D16" s="29"/>
      <c r="E16" s="29"/>
      <c r="F16" s="29"/>
      <c r="G16" s="29"/>
      <c r="H16" s="29"/>
      <c r="I16" s="29"/>
      <c r="J16" s="40" t="s">
        <v>40</v>
      </c>
      <c r="K16" s="29"/>
      <c r="L16" s="29"/>
      <c r="M16" s="3"/>
      <c r="N16" s="93">
        <f>AC27</f>
        <v>1465.5757037037038</v>
      </c>
      <c r="O16" s="94">
        <f>AD27</f>
        <v>684.76172222222215</v>
      </c>
      <c r="P16" s="95">
        <f>AE27</f>
        <v>17.353300438565313</v>
      </c>
      <c r="Q16" s="3"/>
      <c r="R16" s="3"/>
      <c r="S16" s="3"/>
      <c r="V16" s="84" t="s">
        <v>124</v>
      </c>
      <c r="W16" s="85">
        <v>-74.930000000000007</v>
      </c>
      <c r="X16" s="85">
        <v>-3.22</v>
      </c>
      <c r="Y16" s="85">
        <v>7217.41</v>
      </c>
      <c r="Z16" s="85">
        <v>71.47</v>
      </c>
      <c r="AA16" s="85">
        <v>-103.13</v>
      </c>
      <c r="AB16" s="85">
        <v>0.85</v>
      </c>
      <c r="AC16" s="81">
        <v>1465.5757037037038</v>
      </c>
      <c r="AD16" s="82">
        <v>1388.4516296296297</v>
      </c>
      <c r="AE16" s="83">
        <v>12.49985922142948</v>
      </c>
    </row>
    <row r="17" spans="2:31" ht="15" customHeight="1" thickBot="1" x14ac:dyDescent="0.25">
      <c r="B17" s="29"/>
      <c r="C17" s="29"/>
      <c r="D17" s="29"/>
      <c r="E17" s="29"/>
      <c r="F17" s="29"/>
      <c r="G17" s="29"/>
      <c r="H17" s="29"/>
      <c r="I17" s="29"/>
      <c r="J17" s="29" t="s">
        <v>47</v>
      </c>
      <c r="K17" s="41" t="s">
        <v>86</v>
      </c>
      <c r="L17" s="60">
        <f>Y7</f>
        <v>5809.16</v>
      </c>
      <c r="M17" s="3" t="s">
        <v>0</v>
      </c>
      <c r="N17" s="3"/>
      <c r="O17" s="3"/>
      <c r="P17" s="3"/>
      <c r="Q17" s="3"/>
      <c r="R17" s="3"/>
      <c r="S17" s="3"/>
      <c r="V17" s="84" t="s">
        <v>125</v>
      </c>
      <c r="W17" s="85">
        <v>-39.53</v>
      </c>
      <c r="X17" s="85">
        <v>-2.38</v>
      </c>
      <c r="Y17" s="85">
        <v>3074.39</v>
      </c>
      <c r="Z17" s="85">
        <v>52.94</v>
      </c>
      <c r="AA17" s="85">
        <v>-259.3</v>
      </c>
      <c r="AB17" s="85">
        <v>0.63</v>
      </c>
      <c r="AC17" s="81">
        <v>788.25894444444441</v>
      </c>
      <c r="AD17" s="82">
        <v>684.76172222222215</v>
      </c>
      <c r="AE17" s="83">
        <v>6.6002636731842435</v>
      </c>
    </row>
    <row r="18" spans="2:31" ht="15" customHeight="1" thickBot="1" x14ac:dyDescent="0.3">
      <c r="B18" s="29"/>
      <c r="C18" s="29"/>
      <c r="D18" s="29"/>
      <c r="E18" s="29"/>
      <c r="F18" s="29"/>
      <c r="G18" s="29"/>
      <c r="H18" s="29"/>
      <c r="I18" s="29"/>
      <c r="J18" s="29" t="s">
        <v>48</v>
      </c>
      <c r="K18" s="41" t="s">
        <v>87</v>
      </c>
      <c r="L18" s="60">
        <f>W7</f>
        <v>-68.709999999999994</v>
      </c>
      <c r="M18" s="3" t="s">
        <v>0</v>
      </c>
      <c r="N18" s="3"/>
      <c r="O18" s="3"/>
      <c r="P18" s="3"/>
      <c r="Q18" s="3"/>
      <c r="R18" s="3"/>
      <c r="S18" s="3"/>
      <c r="V18" s="84" t="s">
        <v>123</v>
      </c>
      <c r="W18" s="85">
        <v>-79</v>
      </c>
      <c r="X18" s="85">
        <v>-3.22</v>
      </c>
      <c r="Y18" s="85">
        <v>6980.99</v>
      </c>
      <c r="Z18" s="85">
        <v>71.47</v>
      </c>
      <c r="AA18" s="85">
        <v>-208.14</v>
      </c>
      <c r="AB18" s="85">
        <v>0.85</v>
      </c>
      <c r="AC18" s="81">
        <v>1441.3223703703702</v>
      </c>
      <c r="AD18" s="82">
        <v>1333.8982962962964</v>
      </c>
      <c r="AE18" s="83">
        <v>13.177599258674633</v>
      </c>
    </row>
    <row r="19" spans="2:31" ht="15" customHeight="1" thickBot="1" x14ac:dyDescent="0.3">
      <c r="B19" s="29"/>
      <c r="C19" s="29"/>
      <c r="D19" s="29"/>
      <c r="E19" s="29"/>
      <c r="F19" s="29"/>
      <c r="G19" s="29"/>
      <c r="H19" s="29"/>
      <c r="I19" s="29"/>
      <c r="J19" s="29" t="s">
        <v>49</v>
      </c>
      <c r="K19" s="41" t="s">
        <v>88</v>
      </c>
      <c r="L19" s="60">
        <f>X7</f>
        <v>-2.38</v>
      </c>
      <c r="M19" s="3" t="s">
        <v>0</v>
      </c>
      <c r="N19" s="3"/>
      <c r="O19" s="3"/>
      <c r="P19" s="3"/>
      <c r="Q19" s="3"/>
      <c r="R19" s="3"/>
      <c r="S19" s="3"/>
      <c r="V19" s="84" t="s">
        <v>122</v>
      </c>
      <c r="W19" s="85">
        <v>-68.709999999999994</v>
      </c>
      <c r="X19" s="85">
        <v>-2.38</v>
      </c>
      <c r="Y19" s="85">
        <v>5809.16</v>
      </c>
      <c r="Z19" s="85">
        <v>52.94</v>
      </c>
      <c r="AA19" s="85">
        <v>-182.02</v>
      </c>
      <c r="AB19" s="85">
        <v>0.63</v>
      </c>
      <c r="AC19" s="81">
        <v>1237.3733888888892</v>
      </c>
      <c r="AD19" s="82">
        <v>1147.2372777777778</v>
      </c>
      <c r="AE19" s="83">
        <v>11.458534543687898</v>
      </c>
    </row>
    <row r="20" spans="2:31" ht="15" customHeight="1" thickBot="1" x14ac:dyDescent="0.3">
      <c r="B20" s="29"/>
      <c r="C20" s="29"/>
      <c r="D20" s="29"/>
      <c r="E20" s="29"/>
      <c r="F20" s="29"/>
      <c r="G20" s="29"/>
      <c r="H20" s="29"/>
      <c r="I20" s="29"/>
      <c r="J20" s="29" t="s">
        <v>50</v>
      </c>
      <c r="K20" s="41" t="s">
        <v>89</v>
      </c>
      <c r="L20" s="60">
        <f>Z7</f>
        <v>52.94</v>
      </c>
      <c r="M20" s="3" t="s">
        <v>1</v>
      </c>
      <c r="N20" s="3"/>
      <c r="O20" s="3"/>
      <c r="P20" s="3"/>
      <c r="Q20" s="3"/>
      <c r="R20" s="3"/>
      <c r="S20" s="3"/>
      <c r="V20" s="84" t="s">
        <v>126</v>
      </c>
      <c r="W20" s="85">
        <v>-3.6</v>
      </c>
      <c r="X20" s="85">
        <v>-2.38</v>
      </c>
      <c r="Y20" s="85">
        <v>5106.28</v>
      </c>
      <c r="Z20" s="85">
        <v>52.94</v>
      </c>
      <c r="AA20" s="85">
        <v>194.68</v>
      </c>
      <c r="AB20" s="85">
        <v>0.63</v>
      </c>
      <c r="AC20" s="81">
        <v>1111.942</v>
      </c>
      <c r="AD20" s="82">
        <v>1038.3753333333329</v>
      </c>
      <c r="AE20" s="83">
        <v>0.71926660178576662</v>
      </c>
    </row>
    <row r="21" spans="2:31" ht="15" customHeight="1" thickBot="1" x14ac:dyDescent="0.3">
      <c r="B21" s="29"/>
      <c r="C21" s="29"/>
      <c r="D21" s="29"/>
      <c r="E21" s="29"/>
      <c r="F21" s="29"/>
      <c r="G21" s="29"/>
      <c r="H21" s="29"/>
      <c r="I21" s="29"/>
      <c r="J21" s="29" t="s">
        <v>51</v>
      </c>
      <c r="K21" s="41" t="s">
        <v>90</v>
      </c>
      <c r="L21" s="60">
        <f>AA7</f>
        <v>-182.02</v>
      </c>
      <c r="M21" s="3" t="s">
        <v>1</v>
      </c>
      <c r="N21" s="3"/>
      <c r="O21" s="3"/>
      <c r="P21" s="3"/>
      <c r="Q21" s="3"/>
      <c r="R21" s="3"/>
      <c r="S21" s="3"/>
      <c r="V21" s="84" t="s">
        <v>127</v>
      </c>
      <c r="W21" s="85">
        <v>-104.07</v>
      </c>
      <c r="X21" s="85">
        <v>-3.22</v>
      </c>
      <c r="Y21" s="85">
        <v>5102.08</v>
      </c>
      <c r="Z21" s="85">
        <v>71.47</v>
      </c>
      <c r="AA21" s="85">
        <v>-468.8</v>
      </c>
      <c r="AB21" s="85">
        <v>0.85</v>
      </c>
      <c r="AC21" s="81">
        <v>1167.8554259259258</v>
      </c>
      <c r="AD21" s="82">
        <v>981.06190740740749</v>
      </c>
      <c r="AE21" s="83">
        <v>17.353300438565313</v>
      </c>
    </row>
    <row r="22" spans="2:31" ht="15" customHeight="1" thickBot="1" x14ac:dyDescent="0.3">
      <c r="B22" s="29"/>
      <c r="C22" s="29"/>
      <c r="D22" s="29"/>
      <c r="E22" s="29"/>
      <c r="F22" s="29"/>
      <c r="G22" s="29"/>
      <c r="H22" s="29"/>
      <c r="I22" s="29"/>
      <c r="J22" s="29" t="s">
        <v>41</v>
      </c>
      <c r="K22" s="41" t="s">
        <v>91</v>
      </c>
      <c r="L22" s="42">
        <v>0</v>
      </c>
      <c r="M22" s="3" t="s">
        <v>2</v>
      </c>
      <c r="N22" s="3"/>
      <c r="O22" s="27"/>
      <c r="P22" s="27"/>
      <c r="Q22" s="27"/>
      <c r="R22" s="27"/>
      <c r="S22" s="27"/>
      <c r="T22" s="27"/>
      <c r="V22" s="84" t="s">
        <v>123</v>
      </c>
      <c r="W22" s="85">
        <v>-79</v>
      </c>
      <c r="X22" s="85">
        <v>-3.22</v>
      </c>
      <c r="Y22" s="85">
        <v>6980.99</v>
      </c>
      <c r="Z22" s="85">
        <v>71.47</v>
      </c>
      <c r="AA22" s="85">
        <v>-208.14</v>
      </c>
      <c r="AB22" s="85">
        <v>0.85</v>
      </c>
      <c r="AC22" s="81">
        <v>1441.3223703703702</v>
      </c>
      <c r="AD22" s="82">
        <v>1333.8982962962964</v>
      </c>
      <c r="AE22" s="83">
        <v>13.177599258674633</v>
      </c>
    </row>
    <row r="23" spans="2:31" ht="15" customHeight="1" thickBot="1" x14ac:dyDescent="0.3">
      <c r="B23" s="29"/>
      <c r="C23" s="29"/>
      <c r="D23" s="29"/>
      <c r="E23" s="29"/>
      <c r="F23" s="29"/>
      <c r="G23" s="29"/>
      <c r="H23" s="29"/>
      <c r="I23" s="29"/>
      <c r="J23" s="29" t="s">
        <v>42</v>
      </c>
      <c r="K23" s="41" t="s">
        <v>92</v>
      </c>
      <c r="L23" s="42">
        <v>0</v>
      </c>
      <c r="M23" s="3" t="s">
        <v>2</v>
      </c>
      <c r="N23" s="3"/>
      <c r="O23" s="27"/>
      <c r="P23" s="27"/>
      <c r="Q23" s="27"/>
      <c r="R23" s="27"/>
      <c r="S23" s="27"/>
      <c r="T23" s="27"/>
      <c r="V23" s="84" t="s">
        <v>122</v>
      </c>
      <c r="W23" s="85">
        <v>-68.709999999999994</v>
      </c>
      <c r="X23" s="85">
        <v>-2.38</v>
      </c>
      <c r="Y23" s="85">
        <v>5809.16</v>
      </c>
      <c r="Z23" s="85">
        <v>52.94</v>
      </c>
      <c r="AA23" s="85">
        <v>-182.02</v>
      </c>
      <c r="AB23" s="85">
        <v>0.63</v>
      </c>
      <c r="AC23" s="81">
        <v>1237.3733888888892</v>
      </c>
      <c r="AD23" s="82">
        <v>1147.2372777777778</v>
      </c>
      <c r="AE23" s="83">
        <v>11.458534543687898</v>
      </c>
    </row>
    <row r="24" spans="2:31" ht="25.5" x14ac:dyDescent="0.25">
      <c r="B24" s="29"/>
      <c r="C24" s="29"/>
      <c r="D24" s="29"/>
      <c r="E24" s="29"/>
      <c r="F24" s="29"/>
      <c r="G24" s="29"/>
      <c r="H24" s="29"/>
      <c r="I24" s="29"/>
      <c r="J24" s="29" t="s">
        <v>60</v>
      </c>
      <c r="K24" s="41" t="s">
        <v>93</v>
      </c>
      <c r="L24" s="43">
        <f>L17*-L23</f>
        <v>0</v>
      </c>
      <c r="M24" s="3" t="s">
        <v>1</v>
      </c>
      <c r="N24" s="3"/>
      <c r="O24" s="27"/>
      <c r="P24" s="27"/>
      <c r="Q24" s="27"/>
      <c r="R24" s="27"/>
      <c r="S24" s="27"/>
      <c r="T24" s="27"/>
      <c r="AC24" s="197" t="s">
        <v>76</v>
      </c>
      <c r="AD24" s="200" t="s">
        <v>77</v>
      </c>
      <c r="AE24" s="203" t="s">
        <v>111</v>
      </c>
    </row>
    <row r="25" spans="2:31" ht="25.5" x14ac:dyDescent="0.25">
      <c r="B25" s="29"/>
      <c r="C25" s="206" t="s">
        <v>52</v>
      </c>
      <c r="D25" s="206"/>
      <c r="E25" s="206"/>
      <c r="F25" s="206"/>
      <c r="G25" s="206"/>
      <c r="H25" s="206"/>
      <c r="I25" s="29"/>
      <c r="J25" s="29" t="s">
        <v>61</v>
      </c>
      <c r="K25" s="41" t="s">
        <v>94</v>
      </c>
      <c r="L25" s="44">
        <f>L17*L22</f>
        <v>0</v>
      </c>
      <c r="M25" s="3" t="s">
        <v>1</v>
      </c>
      <c r="N25" s="3"/>
      <c r="O25" s="27"/>
      <c r="P25" s="27"/>
      <c r="Q25" s="27"/>
      <c r="R25" s="27"/>
      <c r="S25" s="27"/>
      <c r="T25" s="27"/>
      <c r="AC25" s="198"/>
      <c r="AD25" s="201"/>
      <c r="AE25" s="204"/>
    </row>
    <row r="26" spans="2:31" ht="26.25" thickBot="1" x14ac:dyDescent="0.3">
      <c r="B26" s="29"/>
      <c r="C26" s="207"/>
      <c r="D26" s="207"/>
      <c r="E26" s="207"/>
      <c r="F26" s="207"/>
      <c r="G26" s="207"/>
      <c r="H26" s="207"/>
      <c r="I26" s="29"/>
      <c r="J26" s="29" t="s">
        <v>62</v>
      </c>
      <c r="K26" s="41" t="s">
        <v>95</v>
      </c>
      <c r="L26" s="43">
        <f>L18*L12</f>
        <v>-68.709999999999994</v>
      </c>
      <c r="M26" s="3" t="s">
        <v>1</v>
      </c>
      <c r="N26" s="3"/>
      <c r="O26" s="27"/>
      <c r="P26" s="27"/>
      <c r="Q26" s="27"/>
      <c r="R26" s="27"/>
      <c r="S26" s="27"/>
      <c r="T26" s="27"/>
      <c r="AC26" s="199"/>
      <c r="AD26" s="202"/>
      <c r="AE26" s="205"/>
    </row>
    <row r="27" spans="2:31" ht="25.5" x14ac:dyDescent="0.25">
      <c r="B27" s="29"/>
      <c r="C27" s="194" t="s">
        <v>11</v>
      </c>
      <c r="D27" s="195"/>
      <c r="E27" s="195"/>
      <c r="F27" s="195"/>
      <c r="G27" s="196"/>
      <c r="H27" s="68">
        <v>25</v>
      </c>
      <c r="I27" s="46" t="s">
        <v>96</v>
      </c>
      <c r="J27" s="29" t="s">
        <v>58</v>
      </c>
      <c r="K27" s="41" t="s">
        <v>97</v>
      </c>
      <c r="L27" s="43">
        <f>-L19*L12</f>
        <v>2.38</v>
      </c>
      <c r="M27" s="3" t="s">
        <v>1</v>
      </c>
      <c r="N27" s="3"/>
      <c r="O27" s="27"/>
      <c r="P27" s="27"/>
      <c r="Q27" s="27"/>
      <c r="R27" s="27"/>
      <c r="S27" s="27"/>
      <c r="T27" s="27"/>
      <c r="AC27" s="81">
        <f>MAX(AC12:AC23)</f>
        <v>1465.5757037037038</v>
      </c>
      <c r="AD27" s="82">
        <f>MIN(AD12:AD23)</f>
        <v>684.76172222222215</v>
      </c>
      <c r="AE27" s="83">
        <f>MAX(AE12:AE23)</f>
        <v>17.353300438565313</v>
      </c>
    </row>
    <row r="28" spans="2:31" ht="23.25" customHeight="1" x14ac:dyDescent="0.2">
      <c r="C28" s="194" t="s">
        <v>53</v>
      </c>
      <c r="D28" s="195"/>
      <c r="E28" s="195"/>
      <c r="F28" s="195"/>
      <c r="G28" s="196"/>
      <c r="H28" s="45">
        <v>19</v>
      </c>
      <c r="I28" s="46" t="s">
        <v>96</v>
      </c>
      <c r="J28" s="29"/>
      <c r="K28" s="29"/>
      <c r="L28" s="29"/>
      <c r="M28" s="3"/>
      <c r="N28" s="3"/>
      <c r="O28" s="27"/>
      <c r="P28" s="27"/>
      <c r="Q28" s="27"/>
      <c r="R28" s="27"/>
      <c r="S28" s="27"/>
      <c r="T28" s="27"/>
    </row>
    <row r="29" spans="2:31" ht="15" customHeight="1" x14ac:dyDescent="0.2">
      <c r="B29" s="29"/>
      <c r="C29" s="194" t="s">
        <v>54</v>
      </c>
      <c r="D29" s="195"/>
      <c r="E29" s="195"/>
      <c r="F29" s="195"/>
      <c r="G29" s="196"/>
      <c r="H29" s="45">
        <v>30</v>
      </c>
      <c r="I29" s="46" t="s">
        <v>96</v>
      </c>
      <c r="J29" s="40" t="s">
        <v>59</v>
      </c>
      <c r="K29" s="29"/>
      <c r="L29" s="29"/>
      <c r="M29" s="3"/>
      <c r="N29" s="3"/>
      <c r="O29" s="27"/>
      <c r="P29" s="27"/>
      <c r="Q29" s="27"/>
      <c r="R29" s="27"/>
      <c r="S29" s="27"/>
      <c r="T29" s="27"/>
    </row>
    <row r="30" spans="2:31" ht="15" customHeight="1" x14ac:dyDescent="0.2">
      <c r="B30" s="29"/>
      <c r="C30" s="194" t="s">
        <v>55</v>
      </c>
      <c r="D30" s="195"/>
      <c r="E30" s="195"/>
      <c r="F30" s="195"/>
      <c r="G30" s="196"/>
      <c r="H30" s="47">
        <f>L13*L9</f>
        <v>12.879999999999999</v>
      </c>
      <c r="I30" s="46" t="s">
        <v>98</v>
      </c>
      <c r="J30" s="29" t="s">
        <v>47</v>
      </c>
      <c r="K30" s="41" t="s">
        <v>86</v>
      </c>
      <c r="L30" s="48">
        <f>L17+H38</f>
        <v>7153.8320000000003</v>
      </c>
      <c r="M30" s="3" t="s">
        <v>0</v>
      </c>
      <c r="N30" s="3">
        <v>0.7</v>
      </c>
      <c r="O30" s="27">
        <v>1650</v>
      </c>
      <c r="P30" s="27">
        <f>G42</f>
        <v>6</v>
      </c>
      <c r="Q30" s="96">
        <f>N30*O30*P30</f>
        <v>6930</v>
      </c>
      <c r="R30" s="27"/>
      <c r="S30" s="27"/>
      <c r="T30" s="27"/>
    </row>
    <row r="31" spans="2:31" ht="15" customHeight="1" x14ac:dyDescent="0.25">
      <c r="B31" s="29"/>
      <c r="C31" s="194" t="s">
        <v>56</v>
      </c>
      <c r="D31" s="195"/>
      <c r="E31" s="195"/>
      <c r="F31" s="195"/>
      <c r="G31" s="196"/>
      <c r="H31" s="47">
        <f>L14*L9</f>
        <v>12.879999999999999</v>
      </c>
      <c r="I31" s="46" t="s">
        <v>98</v>
      </c>
      <c r="J31" s="29" t="s">
        <v>48</v>
      </c>
      <c r="K31" s="41" t="s">
        <v>99</v>
      </c>
      <c r="L31" s="43">
        <f>L18</f>
        <v>-68.709999999999994</v>
      </c>
      <c r="M31" s="3" t="s">
        <v>0</v>
      </c>
      <c r="N31" s="3"/>
      <c r="O31" s="27"/>
      <c r="P31" s="27"/>
      <c r="Q31" s="27"/>
      <c r="R31" s="27"/>
      <c r="S31" s="27"/>
      <c r="T31" s="27"/>
    </row>
    <row r="32" spans="2:31" ht="15" customHeight="1" x14ac:dyDescent="0.25">
      <c r="B32" s="29"/>
      <c r="C32" s="194" t="s">
        <v>26</v>
      </c>
      <c r="D32" s="195"/>
      <c r="E32" s="195"/>
      <c r="F32" s="195"/>
      <c r="G32" s="196"/>
      <c r="H32" s="45">
        <v>1.35</v>
      </c>
      <c r="I32" s="29" t="s">
        <v>57</v>
      </c>
      <c r="J32" s="29" t="s">
        <v>49</v>
      </c>
      <c r="K32" s="41" t="s">
        <v>100</v>
      </c>
      <c r="L32" s="43">
        <f>L19</f>
        <v>-2.38</v>
      </c>
      <c r="M32" s="3" t="s">
        <v>0</v>
      </c>
      <c r="N32" s="3"/>
      <c r="O32" s="27"/>
      <c r="P32" s="27"/>
      <c r="Q32" s="27"/>
      <c r="R32" s="27"/>
      <c r="S32" s="27"/>
      <c r="T32" s="27"/>
    </row>
    <row r="33" spans="1:20" ht="15" customHeight="1" x14ac:dyDescent="0.25">
      <c r="B33" s="29"/>
      <c r="C33" s="194" t="s">
        <v>27</v>
      </c>
      <c r="D33" s="195"/>
      <c r="E33" s="195"/>
      <c r="F33" s="195"/>
      <c r="G33" s="196"/>
      <c r="H33" s="45">
        <v>1.5</v>
      </c>
      <c r="I33" s="29" t="s">
        <v>57</v>
      </c>
      <c r="J33" s="29" t="s">
        <v>50</v>
      </c>
      <c r="K33" s="41" t="s">
        <v>101</v>
      </c>
      <c r="L33" s="43">
        <f>L20+L24+L27</f>
        <v>55.32</v>
      </c>
      <c r="M33" s="3" t="s">
        <v>1</v>
      </c>
      <c r="N33" s="3"/>
      <c r="O33" s="27"/>
      <c r="P33" s="27"/>
      <c r="Q33" s="27"/>
      <c r="R33" s="27"/>
      <c r="S33" s="27"/>
      <c r="T33" s="27"/>
    </row>
    <row r="34" spans="1:20" ht="15" customHeight="1" x14ac:dyDescent="0.25">
      <c r="B34" s="29"/>
      <c r="C34" s="194" t="s">
        <v>28</v>
      </c>
      <c r="D34" s="195"/>
      <c r="E34" s="195"/>
      <c r="F34" s="195"/>
      <c r="G34" s="196"/>
      <c r="H34" s="45">
        <v>1.35</v>
      </c>
      <c r="I34" s="29" t="s">
        <v>57</v>
      </c>
      <c r="J34" s="29" t="s">
        <v>51</v>
      </c>
      <c r="K34" s="41" t="s">
        <v>102</v>
      </c>
      <c r="L34" s="43">
        <f>L21+L25+L26</f>
        <v>-250.73000000000002</v>
      </c>
      <c r="M34" s="3" t="s">
        <v>1</v>
      </c>
      <c r="N34" s="3"/>
      <c r="O34" s="27"/>
      <c r="P34" s="27"/>
      <c r="Q34" s="27"/>
      <c r="R34" s="27"/>
      <c r="S34" s="27"/>
      <c r="T34" s="27"/>
    </row>
    <row r="35" spans="1:20" ht="15" customHeight="1" x14ac:dyDescent="0.2">
      <c r="B35" s="29"/>
      <c r="C35" s="194" t="s">
        <v>15</v>
      </c>
      <c r="D35" s="195"/>
      <c r="E35" s="195"/>
      <c r="F35" s="195"/>
      <c r="G35" s="196"/>
      <c r="H35" s="49">
        <f>L9*H29*H33</f>
        <v>579.59999999999991</v>
      </c>
      <c r="I35" s="46" t="s">
        <v>12</v>
      </c>
      <c r="J35" s="29"/>
      <c r="K35" s="29"/>
      <c r="L35" s="29"/>
      <c r="M35" s="29"/>
      <c r="N35" s="3"/>
      <c r="O35" s="27"/>
      <c r="P35" s="27"/>
      <c r="Q35" s="27"/>
      <c r="R35" s="27"/>
      <c r="S35" s="27"/>
      <c r="T35" s="27"/>
    </row>
    <row r="36" spans="1:20" ht="15" customHeight="1" x14ac:dyDescent="0.2">
      <c r="B36" s="29"/>
      <c r="C36" s="194" t="s">
        <v>13</v>
      </c>
      <c r="D36" s="195"/>
      <c r="E36" s="195"/>
      <c r="F36" s="195"/>
      <c r="G36" s="196"/>
      <c r="H36" s="49">
        <f>H27*H30*H32</f>
        <v>434.70000000000005</v>
      </c>
      <c r="I36" s="46" t="s">
        <v>12</v>
      </c>
      <c r="J36" s="29"/>
      <c r="K36" s="29"/>
      <c r="L36" s="29"/>
      <c r="M36" s="3"/>
      <c r="N36" s="3"/>
      <c r="O36" s="27"/>
      <c r="P36" s="27"/>
      <c r="Q36" s="27"/>
      <c r="R36" s="27"/>
      <c r="S36" s="27"/>
      <c r="T36" s="27"/>
    </row>
    <row r="37" spans="1:20" ht="15" customHeight="1" x14ac:dyDescent="0.2">
      <c r="B37" s="29"/>
      <c r="C37" s="194" t="s">
        <v>14</v>
      </c>
      <c r="D37" s="195"/>
      <c r="E37" s="195"/>
      <c r="F37" s="195"/>
      <c r="G37" s="196"/>
      <c r="H37" s="49">
        <f>H28*H31*H34</f>
        <v>330.37199999999996</v>
      </c>
      <c r="I37" s="46" t="s">
        <v>12</v>
      </c>
      <c r="J37" s="29"/>
      <c r="K37" s="29"/>
      <c r="L37" s="29"/>
      <c r="M37" s="3"/>
      <c r="N37" s="3"/>
      <c r="O37" s="27"/>
      <c r="P37" s="27"/>
      <c r="Q37" s="27"/>
      <c r="R37" s="27"/>
      <c r="S37" s="27"/>
      <c r="T37" s="27"/>
    </row>
    <row r="38" spans="1:20" ht="25.5" customHeight="1" x14ac:dyDescent="0.2">
      <c r="B38" s="29"/>
      <c r="C38" s="193" t="s">
        <v>108</v>
      </c>
      <c r="D38" s="193"/>
      <c r="E38" s="193"/>
      <c r="F38" s="193"/>
      <c r="G38" s="193"/>
      <c r="H38" s="48">
        <f>H36+H37+H35</f>
        <v>1344.672</v>
      </c>
      <c r="I38" s="2" t="s">
        <v>12</v>
      </c>
      <c r="J38" s="29"/>
      <c r="K38" s="29"/>
      <c r="L38" s="29"/>
      <c r="M38" s="3"/>
      <c r="N38" s="3"/>
      <c r="O38" s="27"/>
      <c r="P38" s="27"/>
      <c r="Q38" s="27"/>
      <c r="R38" s="27"/>
      <c r="S38" s="27"/>
      <c r="T38" s="27"/>
    </row>
    <row r="39" spans="1:20" ht="15" customHeight="1" x14ac:dyDescent="0.2">
      <c r="B39" s="29"/>
      <c r="C39" s="52"/>
      <c r="D39" s="52"/>
      <c r="E39" s="52"/>
      <c r="F39" s="52"/>
      <c r="G39" s="52"/>
      <c r="H39" s="52"/>
      <c r="I39" s="52"/>
      <c r="J39" s="29"/>
      <c r="K39" s="29"/>
      <c r="L39" s="29"/>
      <c r="M39" s="3"/>
      <c r="N39" s="3"/>
      <c r="O39" s="27"/>
      <c r="P39" s="27"/>
      <c r="Q39" s="27"/>
      <c r="R39" s="27"/>
      <c r="S39" s="27"/>
      <c r="T39" s="27"/>
    </row>
    <row r="40" spans="1:20" ht="12" customHeight="1" x14ac:dyDescent="0.2">
      <c r="B40" s="29"/>
      <c r="C40" s="190" t="s">
        <v>22</v>
      </c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3"/>
      <c r="O40" s="3"/>
      <c r="P40" s="3"/>
      <c r="Q40" s="3"/>
      <c r="R40" s="3"/>
      <c r="S40" s="3"/>
    </row>
    <row r="41" spans="1:20" ht="12" customHeight="1" x14ac:dyDescent="0.2">
      <c r="B41" s="29"/>
      <c r="C41" s="88"/>
      <c r="D41" s="48"/>
      <c r="E41" s="3"/>
      <c r="F41" s="3"/>
      <c r="G41" s="41"/>
      <c r="H41" s="4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20" x14ac:dyDescent="0.2">
      <c r="B42" s="29"/>
      <c r="C42" s="190" t="s">
        <v>83</v>
      </c>
      <c r="D42" s="190"/>
      <c r="E42" s="190"/>
      <c r="F42" s="88"/>
      <c r="G42" s="1">
        <f>MAX(C46:C145)</f>
        <v>6</v>
      </c>
      <c r="H42" s="2" t="s">
        <v>5</v>
      </c>
      <c r="I42" s="3"/>
      <c r="J42" s="3"/>
      <c r="K42" s="3"/>
      <c r="L42" s="3"/>
      <c r="M42" s="3"/>
      <c r="N42" s="191" t="s">
        <v>29</v>
      </c>
      <c r="O42" s="191"/>
      <c r="P42" s="191"/>
      <c r="Q42" s="191"/>
      <c r="R42" s="191"/>
      <c r="S42" s="36"/>
    </row>
    <row r="43" spans="1:20" ht="12.75" customHeight="1" x14ac:dyDescent="0.2">
      <c r="B43" s="29"/>
      <c r="C43" s="88"/>
      <c r="D43" s="88"/>
      <c r="E43" s="88"/>
      <c r="F43" s="88"/>
      <c r="G43" s="88"/>
      <c r="H43" s="2"/>
      <c r="I43" s="3"/>
      <c r="J43" s="3"/>
      <c r="K43" s="3"/>
      <c r="L43" s="3"/>
      <c r="M43" s="3"/>
      <c r="N43" s="191"/>
      <c r="O43" s="191"/>
      <c r="P43" s="191"/>
      <c r="Q43" s="191"/>
      <c r="R43" s="191"/>
      <c r="S43" s="36"/>
    </row>
    <row r="44" spans="1:20" s="58" customFormat="1" ht="25.5" x14ac:dyDescent="0.2">
      <c r="A44" s="57"/>
      <c r="B44" s="29"/>
      <c r="C44" s="89" t="s">
        <v>21</v>
      </c>
      <c r="D44" s="89" t="s">
        <v>3</v>
      </c>
      <c r="E44" s="89" t="s">
        <v>4</v>
      </c>
      <c r="F44" s="89" t="s">
        <v>23</v>
      </c>
      <c r="G44" s="89" t="s">
        <v>65</v>
      </c>
      <c r="H44" s="89" t="s">
        <v>66</v>
      </c>
      <c r="I44" s="89" t="s">
        <v>16</v>
      </c>
      <c r="J44" s="89" t="s">
        <v>6</v>
      </c>
      <c r="K44" s="89" t="s">
        <v>67</v>
      </c>
      <c r="L44" s="89" t="s">
        <v>68</v>
      </c>
      <c r="M44" s="4" t="s">
        <v>69</v>
      </c>
      <c r="N44" s="89" t="s">
        <v>70</v>
      </c>
      <c r="O44" s="89" t="s">
        <v>71</v>
      </c>
      <c r="P44" s="89" t="s">
        <v>72</v>
      </c>
      <c r="Q44" s="89" t="s">
        <v>73</v>
      </c>
      <c r="R44" s="89" t="s">
        <v>74</v>
      </c>
      <c r="S44" s="36"/>
      <c r="T44" s="18"/>
    </row>
    <row r="45" spans="1:20" s="58" customFormat="1" ht="14.25" x14ac:dyDescent="0.2">
      <c r="A45" s="57"/>
      <c r="B45" s="29"/>
      <c r="C45" s="5"/>
      <c r="D45" s="89" t="s">
        <v>7</v>
      </c>
      <c r="E45" s="89" t="s">
        <v>7</v>
      </c>
      <c r="F45" s="89" t="s">
        <v>24</v>
      </c>
      <c r="G45" s="89" t="s">
        <v>75</v>
      </c>
      <c r="H45" s="89" t="s">
        <v>75</v>
      </c>
      <c r="I45" s="89" t="s">
        <v>75</v>
      </c>
      <c r="J45" s="89" t="s">
        <v>8</v>
      </c>
      <c r="K45" s="89" t="s">
        <v>8</v>
      </c>
      <c r="L45" s="89" t="s">
        <v>8</v>
      </c>
      <c r="M45" s="4" t="s">
        <v>8</v>
      </c>
      <c r="N45" s="89" t="s">
        <v>7</v>
      </c>
      <c r="O45" s="89" t="s">
        <v>7</v>
      </c>
      <c r="P45" s="89" t="s">
        <v>75</v>
      </c>
      <c r="Q45" s="89" t="s">
        <v>75</v>
      </c>
      <c r="R45" s="89" t="s">
        <v>75</v>
      </c>
      <c r="S45" s="36"/>
      <c r="T45" s="18"/>
    </row>
    <row r="46" spans="1:20" s="58" customFormat="1" x14ac:dyDescent="0.2">
      <c r="A46" s="57"/>
      <c r="B46" s="29">
        <f>M46</f>
        <v>1216.8845000000001</v>
      </c>
      <c r="C46" s="5">
        <v>1</v>
      </c>
      <c r="D46" s="32">
        <v>-1.8</v>
      </c>
      <c r="E46" s="32">
        <v>0.9</v>
      </c>
      <c r="F46" s="32">
        <v>1</v>
      </c>
      <c r="G46" s="6">
        <f t="shared" ref="G46:G51" si="0">D46^2*F46</f>
        <v>3.24</v>
      </c>
      <c r="H46" s="6">
        <f t="shared" ref="H46:H51" si="1">E46^2*F46</f>
        <v>0.81</v>
      </c>
      <c r="I46" s="7">
        <f t="shared" ref="I46:I51" si="2">D46*E46*F46</f>
        <v>-1.62</v>
      </c>
      <c r="J46" s="8">
        <f t="shared" ref="J46:J51" si="3">$L$30*F46/$F$146</f>
        <v>1192.3053333333335</v>
      </c>
      <c r="K46" s="8">
        <f t="shared" ref="K46:K51" si="4">-($L$34*$I$153+$L$33*$I$152)/($I$151*$I$152-$I$153^2)*O46*F46</f>
        <v>-10.244444444444442</v>
      </c>
      <c r="L46" s="8">
        <f t="shared" ref="L46:L51" si="5">($L$33*$I$153+$L$34*$I$151)/($I$151*$I$152-$I$153^2)*N46*F46</f>
        <v>34.823611111111113</v>
      </c>
      <c r="M46" s="9">
        <f t="shared" ref="M46:M51" si="6">J46+K46+L46</f>
        <v>1216.8845000000001</v>
      </c>
      <c r="N46" s="10">
        <f t="shared" ref="N46:N51" si="7">D46-$D$151</f>
        <v>-1.8</v>
      </c>
      <c r="O46" s="10">
        <f t="shared" ref="O46:O51" si="8">E46-$D$152</f>
        <v>0.9</v>
      </c>
      <c r="P46" s="10">
        <f t="shared" ref="P46:P51" si="9">N46^2*F46</f>
        <v>3.24</v>
      </c>
      <c r="Q46" s="10">
        <f t="shared" ref="Q46:Q51" si="10">O46^2*F46</f>
        <v>0.81</v>
      </c>
      <c r="R46" s="10">
        <f t="shared" ref="R46:R51" si="11">N46*O46*F46</f>
        <v>-1.62</v>
      </c>
      <c r="S46" s="37"/>
      <c r="T46" s="18"/>
    </row>
    <row r="47" spans="1:20" s="58" customFormat="1" x14ac:dyDescent="0.2">
      <c r="A47" s="57"/>
      <c r="B47" s="29">
        <f>M47</f>
        <v>1237.3733888888892</v>
      </c>
      <c r="C47" s="5">
        <f>MAX($C$45:C46)+1</f>
        <v>2</v>
      </c>
      <c r="D47" s="32">
        <v>-1.8</v>
      </c>
      <c r="E47" s="32">
        <v>-0.9</v>
      </c>
      <c r="F47" s="32">
        <v>1</v>
      </c>
      <c r="G47" s="6">
        <f t="shared" si="0"/>
        <v>3.24</v>
      </c>
      <c r="H47" s="6">
        <f t="shared" si="1"/>
        <v>0.81</v>
      </c>
      <c r="I47" s="7">
        <f t="shared" si="2"/>
        <v>1.62</v>
      </c>
      <c r="J47" s="8">
        <f t="shared" si="3"/>
        <v>1192.3053333333335</v>
      </c>
      <c r="K47" s="8">
        <f t="shared" si="4"/>
        <v>10.244444444444442</v>
      </c>
      <c r="L47" s="8">
        <f t="shared" si="5"/>
        <v>34.823611111111113</v>
      </c>
      <c r="M47" s="9">
        <f t="shared" si="6"/>
        <v>1237.3733888888892</v>
      </c>
      <c r="N47" s="10">
        <f t="shared" si="7"/>
        <v>-1.8</v>
      </c>
      <c r="O47" s="10">
        <f t="shared" si="8"/>
        <v>-0.9</v>
      </c>
      <c r="P47" s="10">
        <f t="shared" si="9"/>
        <v>3.24</v>
      </c>
      <c r="Q47" s="10">
        <f t="shared" si="10"/>
        <v>0.81</v>
      </c>
      <c r="R47" s="10">
        <f t="shared" si="11"/>
        <v>1.62</v>
      </c>
      <c r="S47" s="37"/>
      <c r="T47" s="18"/>
    </row>
    <row r="48" spans="1:20" s="58" customFormat="1" x14ac:dyDescent="0.2">
      <c r="A48" s="57"/>
      <c r="B48" s="29">
        <f t="shared" ref="B48:B111" si="12">M48</f>
        <v>1182.0608888888889</v>
      </c>
      <c r="C48" s="5">
        <f>MAX($C$45:C47)+1</f>
        <v>3</v>
      </c>
      <c r="D48" s="32">
        <v>0</v>
      </c>
      <c r="E48" s="32">
        <v>0.9</v>
      </c>
      <c r="F48" s="32">
        <v>1</v>
      </c>
      <c r="G48" s="6">
        <f t="shared" si="0"/>
        <v>0</v>
      </c>
      <c r="H48" s="6">
        <f t="shared" si="1"/>
        <v>0.81</v>
      </c>
      <c r="I48" s="7">
        <f t="shared" si="2"/>
        <v>0</v>
      </c>
      <c r="J48" s="8">
        <f t="shared" si="3"/>
        <v>1192.3053333333335</v>
      </c>
      <c r="K48" s="8">
        <f t="shared" si="4"/>
        <v>-10.244444444444442</v>
      </c>
      <c r="L48" s="8">
        <f t="shared" si="5"/>
        <v>0</v>
      </c>
      <c r="M48" s="9">
        <f t="shared" si="6"/>
        <v>1182.0608888888889</v>
      </c>
      <c r="N48" s="10">
        <f t="shared" si="7"/>
        <v>0</v>
      </c>
      <c r="O48" s="10">
        <f t="shared" si="8"/>
        <v>0.9</v>
      </c>
      <c r="P48" s="10">
        <f t="shared" si="9"/>
        <v>0</v>
      </c>
      <c r="Q48" s="10">
        <f t="shared" si="10"/>
        <v>0.81</v>
      </c>
      <c r="R48" s="10">
        <f t="shared" si="11"/>
        <v>0</v>
      </c>
      <c r="S48" s="37"/>
      <c r="T48" s="18"/>
    </row>
    <row r="49" spans="1:20" s="58" customFormat="1" x14ac:dyDescent="0.2">
      <c r="A49" s="57"/>
      <c r="B49" s="29">
        <f t="shared" si="12"/>
        <v>1202.549777777778</v>
      </c>
      <c r="C49" s="5">
        <f>MAX($C$45:C48)+1</f>
        <v>4</v>
      </c>
      <c r="D49" s="32">
        <v>0</v>
      </c>
      <c r="E49" s="32">
        <v>-0.9</v>
      </c>
      <c r="F49" s="32">
        <v>1</v>
      </c>
      <c r="G49" s="6">
        <f t="shared" si="0"/>
        <v>0</v>
      </c>
      <c r="H49" s="6">
        <f t="shared" si="1"/>
        <v>0.81</v>
      </c>
      <c r="I49" s="7">
        <f t="shared" si="2"/>
        <v>0</v>
      </c>
      <c r="J49" s="8">
        <f t="shared" si="3"/>
        <v>1192.3053333333335</v>
      </c>
      <c r="K49" s="8">
        <f t="shared" si="4"/>
        <v>10.244444444444442</v>
      </c>
      <c r="L49" s="8">
        <f t="shared" si="5"/>
        <v>0</v>
      </c>
      <c r="M49" s="9">
        <f t="shared" si="6"/>
        <v>1202.549777777778</v>
      </c>
      <c r="N49" s="10">
        <f t="shared" si="7"/>
        <v>0</v>
      </c>
      <c r="O49" s="10">
        <f t="shared" si="8"/>
        <v>-0.9</v>
      </c>
      <c r="P49" s="10">
        <f t="shared" si="9"/>
        <v>0</v>
      </c>
      <c r="Q49" s="10">
        <f t="shared" si="10"/>
        <v>0.81</v>
      </c>
      <c r="R49" s="10">
        <f t="shared" si="11"/>
        <v>0</v>
      </c>
      <c r="S49" s="37"/>
      <c r="T49" s="18"/>
    </row>
    <row r="50" spans="1:20" s="58" customFormat="1" x14ac:dyDescent="0.2">
      <c r="A50" s="57"/>
      <c r="B50" s="29">
        <f t="shared" si="12"/>
        <v>1147.2372777777778</v>
      </c>
      <c r="C50" s="5">
        <f>MAX($C$45:C49)+1</f>
        <v>5</v>
      </c>
      <c r="D50" s="32">
        <v>1.8</v>
      </c>
      <c r="E50" s="32">
        <v>0.9</v>
      </c>
      <c r="F50" s="32">
        <v>1</v>
      </c>
      <c r="G50" s="6">
        <f t="shared" si="0"/>
        <v>3.24</v>
      </c>
      <c r="H50" s="6">
        <f t="shared" si="1"/>
        <v>0.81</v>
      </c>
      <c r="I50" s="7">
        <f t="shared" si="2"/>
        <v>1.62</v>
      </c>
      <c r="J50" s="8">
        <f t="shared" si="3"/>
        <v>1192.3053333333335</v>
      </c>
      <c r="K50" s="8">
        <f t="shared" si="4"/>
        <v>-10.244444444444442</v>
      </c>
      <c r="L50" s="8">
        <f t="shared" si="5"/>
        <v>-34.823611111111113</v>
      </c>
      <c r="M50" s="9">
        <f t="shared" si="6"/>
        <v>1147.2372777777778</v>
      </c>
      <c r="N50" s="10">
        <f t="shared" si="7"/>
        <v>1.8</v>
      </c>
      <c r="O50" s="10">
        <f t="shared" si="8"/>
        <v>0.9</v>
      </c>
      <c r="P50" s="10">
        <f t="shared" si="9"/>
        <v>3.24</v>
      </c>
      <c r="Q50" s="10">
        <f t="shared" si="10"/>
        <v>0.81</v>
      </c>
      <c r="R50" s="10">
        <f t="shared" si="11"/>
        <v>1.62</v>
      </c>
      <c r="S50" s="37"/>
      <c r="T50" s="18"/>
    </row>
    <row r="51" spans="1:20" s="58" customFormat="1" x14ac:dyDescent="0.2">
      <c r="A51" s="57"/>
      <c r="B51" s="29">
        <f t="shared" si="12"/>
        <v>1167.7261666666668</v>
      </c>
      <c r="C51" s="5">
        <f>MAX($C$45:C50)+1</f>
        <v>6</v>
      </c>
      <c r="D51" s="32">
        <v>1.8</v>
      </c>
      <c r="E51" s="32">
        <v>-0.9</v>
      </c>
      <c r="F51" s="32">
        <v>1</v>
      </c>
      <c r="G51" s="6">
        <f t="shared" si="0"/>
        <v>3.24</v>
      </c>
      <c r="H51" s="6">
        <f t="shared" si="1"/>
        <v>0.81</v>
      </c>
      <c r="I51" s="7">
        <f t="shared" si="2"/>
        <v>-1.62</v>
      </c>
      <c r="J51" s="8">
        <f t="shared" si="3"/>
        <v>1192.3053333333335</v>
      </c>
      <c r="K51" s="8">
        <f t="shared" si="4"/>
        <v>10.244444444444442</v>
      </c>
      <c r="L51" s="8">
        <f t="shared" si="5"/>
        <v>-34.823611111111113</v>
      </c>
      <c r="M51" s="9">
        <f t="shared" si="6"/>
        <v>1167.7261666666668</v>
      </c>
      <c r="N51" s="10">
        <f t="shared" si="7"/>
        <v>1.8</v>
      </c>
      <c r="O51" s="10">
        <f t="shared" si="8"/>
        <v>-0.9</v>
      </c>
      <c r="P51" s="10">
        <f t="shared" si="9"/>
        <v>3.24</v>
      </c>
      <c r="Q51" s="10">
        <f t="shared" si="10"/>
        <v>0.81</v>
      </c>
      <c r="R51" s="10">
        <f t="shared" si="11"/>
        <v>-1.62</v>
      </c>
      <c r="S51" s="37"/>
      <c r="T51" s="18"/>
    </row>
    <row r="52" spans="1:20" s="58" customFormat="1" x14ac:dyDescent="0.2">
      <c r="A52" s="57"/>
      <c r="B52" s="29">
        <f t="shared" si="12"/>
        <v>0</v>
      </c>
      <c r="C52" s="5"/>
      <c r="D52" s="32"/>
      <c r="E52" s="32"/>
      <c r="F52" s="32"/>
      <c r="G52" s="6"/>
      <c r="H52" s="6"/>
      <c r="I52" s="7"/>
      <c r="J52" s="8"/>
      <c r="K52" s="8"/>
      <c r="L52" s="8"/>
      <c r="M52" s="9"/>
      <c r="N52" s="10"/>
      <c r="O52" s="10"/>
      <c r="P52" s="10"/>
      <c r="Q52" s="10"/>
      <c r="R52" s="10"/>
      <c r="S52" s="37"/>
      <c r="T52" s="18"/>
    </row>
    <row r="53" spans="1:20" s="58" customFormat="1" x14ac:dyDescent="0.2">
      <c r="A53" s="57"/>
      <c r="B53" s="29">
        <f t="shared" si="12"/>
        <v>0</v>
      </c>
      <c r="C53" s="5"/>
      <c r="D53" s="32"/>
      <c r="E53" s="32"/>
      <c r="F53" s="32"/>
      <c r="G53" s="6"/>
      <c r="H53" s="6"/>
      <c r="I53" s="7"/>
      <c r="J53" s="8"/>
      <c r="K53" s="8"/>
      <c r="L53" s="8"/>
      <c r="M53" s="9"/>
      <c r="N53" s="10"/>
      <c r="O53" s="10"/>
      <c r="P53" s="10"/>
      <c r="Q53" s="10"/>
      <c r="R53" s="10"/>
      <c r="S53" s="37"/>
      <c r="T53" s="18"/>
    </row>
    <row r="54" spans="1:20" s="58" customFormat="1" x14ac:dyDescent="0.2">
      <c r="A54" s="57"/>
      <c r="B54" s="29">
        <f t="shared" si="12"/>
        <v>0</v>
      </c>
      <c r="C54" s="5"/>
      <c r="D54" s="32"/>
      <c r="E54" s="32"/>
      <c r="F54" s="32"/>
      <c r="G54" s="6"/>
      <c r="H54" s="6"/>
      <c r="I54" s="7"/>
      <c r="J54" s="8"/>
      <c r="K54" s="8"/>
      <c r="L54" s="8"/>
      <c r="M54" s="9"/>
      <c r="N54" s="10"/>
      <c r="O54" s="10"/>
      <c r="P54" s="10"/>
      <c r="Q54" s="10"/>
      <c r="R54" s="10"/>
      <c r="S54" s="37"/>
      <c r="T54" s="18"/>
    </row>
    <row r="55" spans="1:20" s="58" customFormat="1" x14ac:dyDescent="0.2">
      <c r="A55" s="57"/>
      <c r="B55" s="29">
        <f t="shared" si="12"/>
        <v>0</v>
      </c>
      <c r="C55" s="5"/>
      <c r="D55" s="32"/>
      <c r="E55" s="32"/>
      <c r="F55" s="32"/>
      <c r="G55" s="6"/>
      <c r="H55" s="6"/>
      <c r="I55" s="7"/>
      <c r="J55" s="8"/>
      <c r="K55" s="8"/>
      <c r="L55" s="8"/>
      <c r="M55" s="9"/>
      <c r="N55" s="10"/>
      <c r="O55" s="10"/>
      <c r="P55" s="10"/>
      <c r="Q55" s="10"/>
      <c r="R55" s="10"/>
      <c r="S55" s="37"/>
      <c r="T55" s="18"/>
    </row>
    <row r="56" spans="1:20" s="58" customFormat="1" x14ac:dyDescent="0.2">
      <c r="A56" s="57"/>
      <c r="B56" s="29">
        <f t="shared" si="12"/>
        <v>0</v>
      </c>
      <c r="C56" s="5"/>
      <c r="D56" s="32"/>
      <c r="E56" s="32"/>
      <c r="F56" s="32"/>
      <c r="G56" s="6"/>
      <c r="H56" s="6"/>
      <c r="I56" s="7"/>
      <c r="J56" s="8"/>
      <c r="K56" s="8"/>
      <c r="L56" s="8"/>
      <c r="M56" s="9"/>
      <c r="N56" s="10"/>
      <c r="O56" s="10"/>
      <c r="P56" s="10"/>
      <c r="Q56" s="10"/>
      <c r="R56" s="10"/>
      <c r="S56" s="37"/>
      <c r="T56" s="18"/>
    </row>
    <row r="57" spans="1:20" s="58" customFormat="1" x14ac:dyDescent="0.2">
      <c r="A57" s="57"/>
      <c r="B57" s="29">
        <f t="shared" si="12"/>
        <v>0</v>
      </c>
      <c r="C57" s="5"/>
      <c r="D57" s="32"/>
      <c r="E57" s="32"/>
      <c r="F57" s="32"/>
      <c r="G57" s="6"/>
      <c r="H57" s="6"/>
      <c r="I57" s="7"/>
      <c r="J57" s="8"/>
      <c r="K57" s="8"/>
      <c r="L57" s="8"/>
      <c r="M57" s="9"/>
      <c r="N57" s="10"/>
      <c r="O57" s="10"/>
      <c r="P57" s="10"/>
      <c r="Q57" s="10"/>
      <c r="R57" s="10"/>
      <c r="S57" s="37"/>
      <c r="T57" s="18"/>
    </row>
    <row r="58" spans="1:20" s="58" customFormat="1" x14ac:dyDescent="0.2">
      <c r="A58" s="57"/>
      <c r="B58" s="29">
        <f t="shared" si="12"/>
        <v>0</v>
      </c>
      <c r="C58" s="5"/>
      <c r="D58" s="33"/>
      <c r="E58" s="33"/>
      <c r="F58" s="33"/>
      <c r="G58" s="6"/>
      <c r="H58" s="6"/>
      <c r="I58" s="7"/>
      <c r="J58" s="8"/>
      <c r="K58" s="8"/>
      <c r="L58" s="8"/>
      <c r="M58" s="9"/>
      <c r="N58" s="10"/>
      <c r="O58" s="10"/>
      <c r="P58" s="10"/>
      <c r="Q58" s="10"/>
      <c r="R58" s="10"/>
      <c r="S58" s="37"/>
      <c r="T58" s="18"/>
    </row>
    <row r="59" spans="1:20" s="58" customFormat="1" x14ac:dyDescent="0.2">
      <c r="A59" s="57"/>
      <c r="B59" s="29">
        <f t="shared" si="12"/>
        <v>0</v>
      </c>
      <c r="C59" s="5"/>
      <c r="D59" s="33"/>
      <c r="E59" s="33"/>
      <c r="F59" s="33"/>
      <c r="G59" s="6"/>
      <c r="H59" s="6"/>
      <c r="I59" s="7"/>
      <c r="J59" s="8"/>
      <c r="K59" s="8"/>
      <c r="L59" s="8"/>
      <c r="M59" s="9"/>
      <c r="N59" s="10"/>
      <c r="O59" s="10"/>
      <c r="P59" s="10"/>
      <c r="Q59" s="10"/>
      <c r="R59" s="10"/>
      <c r="S59" s="37"/>
      <c r="T59" s="18"/>
    </row>
    <row r="60" spans="1:20" s="58" customFormat="1" x14ac:dyDescent="0.2">
      <c r="A60" s="57"/>
      <c r="B60" s="29">
        <f t="shared" si="12"/>
        <v>0</v>
      </c>
      <c r="C60" s="5"/>
      <c r="D60" s="33"/>
      <c r="E60" s="33"/>
      <c r="F60" s="33"/>
      <c r="G60" s="6"/>
      <c r="H60" s="6"/>
      <c r="I60" s="7"/>
      <c r="J60" s="8"/>
      <c r="K60" s="8"/>
      <c r="L60" s="8"/>
      <c r="M60" s="9"/>
      <c r="N60" s="10"/>
      <c r="O60" s="10"/>
      <c r="P60" s="10"/>
      <c r="Q60" s="10"/>
      <c r="R60" s="10"/>
      <c r="S60" s="37"/>
      <c r="T60" s="18"/>
    </row>
    <row r="61" spans="1:20" s="58" customFormat="1" hidden="1" x14ac:dyDescent="0.2">
      <c r="A61" s="57"/>
      <c r="B61" s="29">
        <f t="shared" si="12"/>
        <v>0</v>
      </c>
      <c r="C61" s="5"/>
      <c r="D61" s="11"/>
      <c r="E61" s="11"/>
      <c r="F61" s="11"/>
      <c r="G61" s="6"/>
      <c r="H61" s="6"/>
      <c r="I61" s="7"/>
      <c r="J61" s="8"/>
      <c r="K61" s="8"/>
      <c r="L61" s="8"/>
      <c r="M61" s="9"/>
      <c r="N61" s="10"/>
      <c r="O61" s="10"/>
      <c r="P61" s="10"/>
      <c r="Q61" s="10"/>
      <c r="R61" s="10"/>
      <c r="S61" s="37"/>
      <c r="T61" s="18"/>
    </row>
    <row r="62" spans="1:20" s="58" customFormat="1" hidden="1" x14ac:dyDescent="0.2">
      <c r="A62" s="57"/>
      <c r="B62" s="29">
        <f t="shared" si="12"/>
        <v>0</v>
      </c>
      <c r="C62" s="5"/>
      <c r="D62" s="11"/>
      <c r="E62" s="11"/>
      <c r="F62" s="11"/>
      <c r="G62" s="6"/>
      <c r="H62" s="6"/>
      <c r="I62" s="7"/>
      <c r="J62" s="8"/>
      <c r="K62" s="8"/>
      <c r="L62" s="8"/>
      <c r="M62" s="9"/>
      <c r="N62" s="10"/>
      <c r="O62" s="10"/>
      <c r="P62" s="10"/>
      <c r="Q62" s="10"/>
      <c r="R62" s="10"/>
      <c r="S62" s="37"/>
      <c r="T62" s="18"/>
    </row>
    <row r="63" spans="1:20" s="58" customFormat="1" hidden="1" x14ac:dyDescent="0.2">
      <c r="A63" s="57"/>
      <c r="B63" s="29">
        <f t="shared" si="12"/>
        <v>0</v>
      </c>
      <c r="C63" s="5"/>
      <c r="D63" s="11"/>
      <c r="E63" s="11"/>
      <c r="F63" s="11"/>
      <c r="G63" s="6"/>
      <c r="H63" s="6"/>
      <c r="I63" s="7"/>
      <c r="J63" s="8"/>
      <c r="K63" s="8"/>
      <c r="L63" s="8"/>
      <c r="M63" s="9"/>
      <c r="N63" s="10"/>
      <c r="O63" s="10"/>
      <c r="P63" s="10"/>
      <c r="Q63" s="10"/>
      <c r="R63" s="10"/>
      <c r="S63" s="37"/>
      <c r="T63" s="18"/>
    </row>
    <row r="64" spans="1:20" s="58" customFormat="1" hidden="1" x14ac:dyDescent="0.2">
      <c r="A64" s="57"/>
      <c r="B64" s="29">
        <f t="shared" si="12"/>
        <v>0</v>
      </c>
      <c r="C64" s="5"/>
      <c r="D64" s="11"/>
      <c r="E64" s="11"/>
      <c r="F64" s="11"/>
      <c r="G64" s="6"/>
      <c r="H64" s="6"/>
      <c r="I64" s="7"/>
      <c r="J64" s="8"/>
      <c r="K64" s="8"/>
      <c r="L64" s="8"/>
      <c r="M64" s="9"/>
      <c r="N64" s="10"/>
      <c r="O64" s="10"/>
      <c r="P64" s="10"/>
      <c r="Q64" s="10"/>
      <c r="R64" s="10"/>
      <c r="S64" s="37"/>
      <c r="T64" s="18"/>
    </row>
    <row r="65" spans="1:20" s="58" customFormat="1" hidden="1" x14ac:dyDescent="0.2">
      <c r="A65" s="57"/>
      <c r="B65" s="29">
        <f t="shared" si="12"/>
        <v>0</v>
      </c>
      <c r="C65" s="5"/>
      <c r="D65" s="11"/>
      <c r="E65" s="11"/>
      <c r="F65" s="11"/>
      <c r="G65" s="6"/>
      <c r="H65" s="6"/>
      <c r="I65" s="7"/>
      <c r="J65" s="8"/>
      <c r="K65" s="8"/>
      <c r="L65" s="8"/>
      <c r="M65" s="9"/>
      <c r="N65" s="10"/>
      <c r="O65" s="10"/>
      <c r="P65" s="10"/>
      <c r="Q65" s="10"/>
      <c r="R65" s="10"/>
      <c r="S65" s="37"/>
      <c r="T65" s="18"/>
    </row>
    <row r="66" spans="1:20" s="58" customFormat="1" hidden="1" x14ac:dyDescent="0.2">
      <c r="A66" s="57"/>
      <c r="B66" s="29">
        <f t="shared" si="12"/>
        <v>0</v>
      </c>
      <c r="C66" s="5"/>
      <c r="D66" s="11"/>
      <c r="E66" s="11"/>
      <c r="F66" s="11"/>
      <c r="G66" s="6"/>
      <c r="H66" s="6"/>
      <c r="I66" s="7"/>
      <c r="J66" s="8"/>
      <c r="K66" s="8"/>
      <c r="L66" s="8"/>
      <c r="M66" s="9"/>
      <c r="N66" s="10"/>
      <c r="O66" s="10"/>
      <c r="P66" s="10"/>
      <c r="Q66" s="10"/>
      <c r="R66" s="10"/>
      <c r="S66" s="37"/>
      <c r="T66" s="18"/>
    </row>
    <row r="67" spans="1:20" s="58" customFormat="1" hidden="1" x14ac:dyDescent="0.2">
      <c r="A67" s="57"/>
      <c r="B67" s="29">
        <f t="shared" si="12"/>
        <v>0</v>
      </c>
      <c r="C67" s="5"/>
      <c r="D67" s="11"/>
      <c r="E67" s="11"/>
      <c r="F67" s="11"/>
      <c r="G67" s="6"/>
      <c r="H67" s="6"/>
      <c r="I67" s="7"/>
      <c r="J67" s="8"/>
      <c r="K67" s="8"/>
      <c r="L67" s="8"/>
      <c r="M67" s="9"/>
      <c r="N67" s="10"/>
      <c r="O67" s="10"/>
      <c r="P67" s="10"/>
      <c r="Q67" s="10"/>
      <c r="R67" s="10"/>
      <c r="S67" s="37"/>
      <c r="T67" s="18"/>
    </row>
    <row r="68" spans="1:20" s="58" customFormat="1" hidden="1" x14ac:dyDescent="0.2">
      <c r="A68" s="57"/>
      <c r="B68" s="29">
        <f t="shared" si="12"/>
        <v>0</v>
      </c>
      <c r="C68" s="5"/>
      <c r="D68" s="11"/>
      <c r="E68" s="11"/>
      <c r="F68" s="11"/>
      <c r="G68" s="6"/>
      <c r="H68" s="6"/>
      <c r="I68" s="7"/>
      <c r="J68" s="8"/>
      <c r="K68" s="8"/>
      <c r="L68" s="8"/>
      <c r="M68" s="9"/>
      <c r="N68" s="10"/>
      <c r="O68" s="10"/>
      <c r="P68" s="10"/>
      <c r="Q68" s="10"/>
      <c r="R68" s="10"/>
      <c r="S68" s="37"/>
      <c r="T68" s="18"/>
    </row>
    <row r="69" spans="1:20" s="58" customFormat="1" hidden="1" x14ac:dyDescent="0.2">
      <c r="A69" s="57"/>
      <c r="B69" s="29">
        <f t="shared" si="12"/>
        <v>0</v>
      </c>
      <c r="C69" s="5"/>
      <c r="D69" s="11"/>
      <c r="E69" s="11"/>
      <c r="F69" s="11"/>
      <c r="G69" s="6"/>
      <c r="H69" s="6"/>
      <c r="I69" s="7"/>
      <c r="J69" s="8"/>
      <c r="K69" s="8"/>
      <c r="L69" s="8"/>
      <c r="M69" s="9"/>
      <c r="N69" s="10"/>
      <c r="O69" s="10"/>
      <c r="P69" s="10"/>
      <c r="Q69" s="10"/>
      <c r="R69" s="10"/>
      <c r="S69" s="37"/>
      <c r="T69" s="18"/>
    </row>
    <row r="70" spans="1:20" s="58" customFormat="1" hidden="1" x14ac:dyDescent="0.2">
      <c r="A70" s="57"/>
      <c r="B70" s="29">
        <f t="shared" si="12"/>
        <v>0</v>
      </c>
      <c r="C70" s="5"/>
      <c r="D70" s="11"/>
      <c r="E70" s="11"/>
      <c r="F70" s="11"/>
      <c r="G70" s="6"/>
      <c r="H70" s="6"/>
      <c r="I70" s="7"/>
      <c r="J70" s="8"/>
      <c r="K70" s="8"/>
      <c r="L70" s="8"/>
      <c r="M70" s="9"/>
      <c r="N70" s="10"/>
      <c r="O70" s="10"/>
      <c r="P70" s="10"/>
      <c r="Q70" s="10"/>
      <c r="R70" s="10"/>
      <c r="S70" s="37"/>
      <c r="T70" s="18"/>
    </row>
    <row r="71" spans="1:20" s="58" customFormat="1" hidden="1" x14ac:dyDescent="0.2">
      <c r="A71" s="57"/>
      <c r="B71" s="29">
        <f t="shared" si="12"/>
        <v>0</v>
      </c>
      <c r="C71" s="5"/>
      <c r="D71" s="11"/>
      <c r="E71" s="11"/>
      <c r="F71" s="11"/>
      <c r="G71" s="6"/>
      <c r="H71" s="6"/>
      <c r="I71" s="7"/>
      <c r="J71" s="8"/>
      <c r="K71" s="8"/>
      <c r="L71" s="8"/>
      <c r="M71" s="9"/>
      <c r="N71" s="10"/>
      <c r="O71" s="10"/>
      <c r="P71" s="10"/>
      <c r="Q71" s="10"/>
      <c r="R71" s="10"/>
      <c r="S71" s="37"/>
      <c r="T71" s="18"/>
    </row>
    <row r="72" spans="1:20" s="58" customFormat="1" hidden="1" x14ac:dyDescent="0.2">
      <c r="A72" s="57"/>
      <c r="B72" s="29">
        <f t="shared" si="12"/>
        <v>0</v>
      </c>
      <c r="C72" s="5"/>
      <c r="D72" s="11"/>
      <c r="E72" s="11"/>
      <c r="F72" s="11"/>
      <c r="G72" s="6"/>
      <c r="H72" s="6"/>
      <c r="I72" s="7"/>
      <c r="J72" s="8"/>
      <c r="K72" s="8"/>
      <c r="L72" s="8"/>
      <c r="M72" s="9"/>
      <c r="N72" s="10"/>
      <c r="O72" s="10"/>
      <c r="P72" s="10"/>
      <c r="Q72" s="10"/>
      <c r="R72" s="10"/>
      <c r="S72" s="37"/>
      <c r="T72" s="18"/>
    </row>
    <row r="73" spans="1:20" s="58" customFormat="1" hidden="1" x14ac:dyDescent="0.2">
      <c r="A73" s="57"/>
      <c r="B73" s="29">
        <f t="shared" si="12"/>
        <v>0</v>
      </c>
      <c r="C73" s="5"/>
      <c r="D73" s="11"/>
      <c r="E73" s="11"/>
      <c r="F73" s="11"/>
      <c r="G73" s="6"/>
      <c r="H73" s="6"/>
      <c r="I73" s="7"/>
      <c r="J73" s="8"/>
      <c r="K73" s="8"/>
      <c r="L73" s="8"/>
      <c r="M73" s="9"/>
      <c r="N73" s="10"/>
      <c r="O73" s="10"/>
      <c r="P73" s="10"/>
      <c r="Q73" s="10"/>
      <c r="R73" s="10"/>
      <c r="S73" s="37"/>
      <c r="T73" s="18"/>
    </row>
    <row r="74" spans="1:20" s="58" customFormat="1" hidden="1" x14ac:dyDescent="0.2">
      <c r="A74" s="57"/>
      <c r="B74" s="29">
        <f t="shared" si="12"/>
        <v>0</v>
      </c>
      <c r="C74" s="5"/>
      <c r="D74" s="11"/>
      <c r="E74" s="11"/>
      <c r="F74" s="11"/>
      <c r="G74" s="6"/>
      <c r="H74" s="6"/>
      <c r="I74" s="7"/>
      <c r="J74" s="8"/>
      <c r="K74" s="8"/>
      <c r="L74" s="8"/>
      <c r="M74" s="9"/>
      <c r="N74" s="10"/>
      <c r="O74" s="10"/>
      <c r="P74" s="10"/>
      <c r="Q74" s="10"/>
      <c r="R74" s="10"/>
      <c r="S74" s="37"/>
      <c r="T74" s="18"/>
    </row>
    <row r="75" spans="1:20" s="58" customFormat="1" hidden="1" x14ac:dyDescent="0.2">
      <c r="A75" s="57"/>
      <c r="B75" s="29">
        <f t="shared" si="12"/>
        <v>0</v>
      </c>
      <c r="C75" s="5"/>
      <c r="D75" s="11"/>
      <c r="E75" s="11"/>
      <c r="F75" s="11"/>
      <c r="G75" s="6"/>
      <c r="H75" s="6"/>
      <c r="I75" s="7"/>
      <c r="J75" s="8"/>
      <c r="K75" s="8"/>
      <c r="L75" s="8"/>
      <c r="M75" s="9"/>
      <c r="N75" s="10"/>
      <c r="O75" s="10"/>
      <c r="P75" s="10"/>
      <c r="Q75" s="10"/>
      <c r="R75" s="10"/>
      <c r="S75" s="37"/>
      <c r="T75" s="18"/>
    </row>
    <row r="76" spans="1:20" s="58" customFormat="1" hidden="1" x14ac:dyDescent="0.2">
      <c r="A76" s="57"/>
      <c r="B76" s="29">
        <f t="shared" si="12"/>
        <v>0</v>
      </c>
      <c r="C76" s="5"/>
      <c r="D76" s="11"/>
      <c r="E76" s="11"/>
      <c r="F76" s="11"/>
      <c r="G76" s="6"/>
      <c r="H76" s="6"/>
      <c r="I76" s="7"/>
      <c r="J76" s="8"/>
      <c r="K76" s="8"/>
      <c r="L76" s="8"/>
      <c r="M76" s="9"/>
      <c r="N76" s="10"/>
      <c r="O76" s="10"/>
      <c r="P76" s="10"/>
      <c r="Q76" s="10"/>
      <c r="R76" s="10"/>
      <c r="S76" s="37"/>
      <c r="T76" s="18"/>
    </row>
    <row r="77" spans="1:20" s="58" customFormat="1" hidden="1" x14ac:dyDescent="0.2">
      <c r="A77" s="57"/>
      <c r="B77" s="29">
        <f t="shared" si="12"/>
        <v>0</v>
      </c>
      <c r="C77" s="5"/>
      <c r="D77" s="11"/>
      <c r="E77" s="11"/>
      <c r="F77" s="11"/>
      <c r="G77" s="6"/>
      <c r="H77" s="6"/>
      <c r="I77" s="7"/>
      <c r="J77" s="8"/>
      <c r="K77" s="8"/>
      <c r="L77" s="8"/>
      <c r="M77" s="9"/>
      <c r="N77" s="10"/>
      <c r="O77" s="10"/>
      <c r="P77" s="10"/>
      <c r="Q77" s="10"/>
      <c r="R77" s="10"/>
      <c r="S77" s="37"/>
      <c r="T77" s="18"/>
    </row>
    <row r="78" spans="1:20" s="58" customFormat="1" hidden="1" x14ac:dyDescent="0.2">
      <c r="A78" s="57"/>
      <c r="B78" s="29">
        <f t="shared" si="12"/>
        <v>0</v>
      </c>
      <c r="C78" s="5"/>
      <c r="D78" s="11"/>
      <c r="E78" s="11"/>
      <c r="F78" s="11"/>
      <c r="G78" s="6"/>
      <c r="H78" s="6"/>
      <c r="I78" s="7"/>
      <c r="J78" s="8"/>
      <c r="K78" s="8"/>
      <c r="L78" s="8"/>
      <c r="M78" s="9"/>
      <c r="N78" s="10"/>
      <c r="O78" s="10"/>
      <c r="P78" s="10"/>
      <c r="Q78" s="10"/>
      <c r="R78" s="10"/>
      <c r="S78" s="37"/>
      <c r="T78" s="18"/>
    </row>
    <row r="79" spans="1:20" s="58" customFormat="1" hidden="1" x14ac:dyDescent="0.2">
      <c r="A79" s="57"/>
      <c r="B79" s="29">
        <f t="shared" si="12"/>
        <v>0</v>
      </c>
      <c r="C79" s="5"/>
      <c r="D79" s="11"/>
      <c r="E79" s="11"/>
      <c r="F79" s="11"/>
      <c r="G79" s="6"/>
      <c r="H79" s="6"/>
      <c r="I79" s="7"/>
      <c r="J79" s="8"/>
      <c r="K79" s="8"/>
      <c r="L79" s="8"/>
      <c r="M79" s="9"/>
      <c r="N79" s="10"/>
      <c r="O79" s="10"/>
      <c r="P79" s="10"/>
      <c r="Q79" s="10"/>
      <c r="R79" s="10"/>
      <c r="S79" s="37"/>
      <c r="T79" s="18"/>
    </row>
    <row r="80" spans="1:20" s="58" customFormat="1" hidden="1" x14ac:dyDescent="0.2">
      <c r="A80" s="57"/>
      <c r="B80" s="29">
        <f t="shared" si="12"/>
        <v>0</v>
      </c>
      <c r="C80" s="5"/>
      <c r="D80" s="11"/>
      <c r="E80" s="11"/>
      <c r="F80" s="11"/>
      <c r="G80" s="6"/>
      <c r="H80" s="6"/>
      <c r="I80" s="7"/>
      <c r="J80" s="8"/>
      <c r="K80" s="8"/>
      <c r="L80" s="8"/>
      <c r="M80" s="9"/>
      <c r="N80" s="10"/>
      <c r="O80" s="10"/>
      <c r="P80" s="10"/>
      <c r="Q80" s="10"/>
      <c r="R80" s="10"/>
      <c r="S80" s="37"/>
      <c r="T80" s="18"/>
    </row>
    <row r="81" spans="1:20" s="58" customFormat="1" hidden="1" x14ac:dyDescent="0.2">
      <c r="A81" s="57"/>
      <c r="B81" s="29">
        <f t="shared" si="12"/>
        <v>0</v>
      </c>
      <c r="C81" s="5"/>
      <c r="D81" s="11"/>
      <c r="E81" s="11"/>
      <c r="F81" s="11"/>
      <c r="G81" s="6"/>
      <c r="H81" s="6"/>
      <c r="I81" s="7"/>
      <c r="J81" s="8"/>
      <c r="K81" s="8"/>
      <c r="L81" s="8"/>
      <c r="M81" s="9"/>
      <c r="N81" s="10"/>
      <c r="O81" s="10"/>
      <c r="P81" s="10"/>
      <c r="Q81" s="10"/>
      <c r="R81" s="10"/>
      <c r="S81" s="37"/>
      <c r="T81" s="18"/>
    </row>
    <row r="82" spans="1:20" s="58" customFormat="1" hidden="1" x14ac:dyDescent="0.2">
      <c r="A82" s="57"/>
      <c r="B82" s="29">
        <f t="shared" si="12"/>
        <v>0</v>
      </c>
      <c r="C82" s="5"/>
      <c r="D82" s="11"/>
      <c r="E82" s="11"/>
      <c r="F82" s="11"/>
      <c r="G82" s="6"/>
      <c r="H82" s="6"/>
      <c r="I82" s="7"/>
      <c r="J82" s="8"/>
      <c r="K82" s="8"/>
      <c r="L82" s="8"/>
      <c r="M82" s="9"/>
      <c r="N82" s="10"/>
      <c r="O82" s="10"/>
      <c r="P82" s="10"/>
      <c r="Q82" s="10"/>
      <c r="R82" s="10"/>
      <c r="S82" s="37"/>
      <c r="T82" s="18"/>
    </row>
    <row r="83" spans="1:20" s="58" customFormat="1" hidden="1" x14ac:dyDescent="0.2">
      <c r="A83" s="57"/>
      <c r="B83" s="29">
        <f t="shared" si="12"/>
        <v>0</v>
      </c>
      <c r="C83" s="5"/>
      <c r="D83" s="11"/>
      <c r="E83" s="11"/>
      <c r="F83" s="11"/>
      <c r="G83" s="6"/>
      <c r="H83" s="6"/>
      <c r="I83" s="7"/>
      <c r="J83" s="8"/>
      <c r="K83" s="8"/>
      <c r="L83" s="8"/>
      <c r="M83" s="9"/>
      <c r="N83" s="10"/>
      <c r="O83" s="10"/>
      <c r="P83" s="10"/>
      <c r="Q83" s="10"/>
      <c r="R83" s="10"/>
      <c r="S83" s="37"/>
      <c r="T83" s="18"/>
    </row>
    <row r="84" spans="1:20" s="58" customFormat="1" hidden="1" x14ac:dyDescent="0.2">
      <c r="A84" s="57"/>
      <c r="B84" s="29">
        <f t="shared" si="12"/>
        <v>0</v>
      </c>
      <c r="C84" s="5"/>
      <c r="D84" s="11"/>
      <c r="E84" s="11"/>
      <c r="F84" s="11"/>
      <c r="G84" s="6"/>
      <c r="H84" s="6"/>
      <c r="I84" s="7"/>
      <c r="J84" s="8"/>
      <c r="K84" s="8"/>
      <c r="L84" s="8"/>
      <c r="M84" s="9"/>
      <c r="N84" s="10"/>
      <c r="O84" s="10"/>
      <c r="P84" s="10"/>
      <c r="Q84" s="10"/>
      <c r="R84" s="10"/>
      <c r="S84" s="37"/>
      <c r="T84" s="18"/>
    </row>
    <row r="85" spans="1:20" s="58" customFormat="1" hidden="1" x14ac:dyDescent="0.2">
      <c r="A85" s="57"/>
      <c r="B85" s="29">
        <f t="shared" si="12"/>
        <v>0</v>
      </c>
      <c r="C85" s="5"/>
      <c r="D85" s="11"/>
      <c r="E85" s="11"/>
      <c r="F85" s="11"/>
      <c r="G85" s="6"/>
      <c r="H85" s="6"/>
      <c r="I85" s="7"/>
      <c r="J85" s="8"/>
      <c r="K85" s="8"/>
      <c r="L85" s="8"/>
      <c r="M85" s="9"/>
      <c r="N85" s="10"/>
      <c r="O85" s="10"/>
      <c r="P85" s="10"/>
      <c r="Q85" s="10"/>
      <c r="R85" s="10"/>
      <c r="S85" s="37"/>
      <c r="T85" s="18"/>
    </row>
    <row r="86" spans="1:20" s="58" customFormat="1" hidden="1" x14ac:dyDescent="0.2">
      <c r="A86" s="57"/>
      <c r="B86" s="29">
        <f t="shared" si="12"/>
        <v>0</v>
      </c>
      <c r="C86" s="5"/>
      <c r="D86" s="11"/>
      <c r="E86" s="11"/>
      <c r="F86" s="11"/>
      <c r="G86" s="6"/>
      <c r="H86" s="6"/>
      <c r="I86" s="7"/>
      <c r="J86" s="8"/>
      <c r="K86" s="8"/>
      <c r="L86" s="8"/>
      <c r="M86" s="9"/>
      <c r="N86" s="10"/>
      <c r="O86" s="10"/>
      <c r="P86" s="10"/>
      <c r="Q86" s="10"/>
      <c r="R86" s="10"/>
      <c r="S86" s="37"/>
      <c r="T86" s="18"/>
    </row>
    <row r="87" spans="1:20" s="58" customFormat="1" hidden="1" x14ac:dyDescent="0.2">
      <c r="A87" s="57"/>
      <c r="B87" s="29">
        <f t="shared" si="12"/>
        <v>0</v>
      </c>
      <c r="C87" s="5"/>
      <c r="D87" s="11"/>
      <c r="E87" s="11"/>
      <c r="F87" s="11"/>
      <c r="G87" s="6"/>
      <c r="H87" s="6"/>
      <c r="I87" s="7"/>
      <c r="J87" s="8"/>
      <c r="K87" s="8"/>
      <c r="L87" s="8"/>
      <c r="M87" s="9"/>
      <c r="N87" s="10"/>
      <c r="O87" s="10"/>
      <c r="P87" s="10"/>
      <c r="Q87" s="10"/>
      <c r="R87" s="10"/>
      <c r="S87" s="37"/>
      <c r="T87" s="18"/>
    </row>
    <row r="88" spans="1:20" s="58" customFormat="1" hidden="1" x14ac:dyDescent="0.2">
      <c r="A88" s="57"/>
      <c r="B88" s="29">
        <f t="shared" si="12"/>
        <v>0</v>
      </c>
      <c r="C88" s="5"/>
      <c r="D88" s="11"/>
      <c r="E88" s="11"/>
      <c r="F88" s="11"/>
      <c r="G88" s="6"/>
      <c r="H88" s="6"/>
      <c r="I88" s="7"/>
      <c r="J88" s="8"/>
      <c r="K88" s="8"/>
      <c r="L88" s="8"/>
      <c r="M88" s="9"/>
      <c r="N88" s="10"/>
      <c r="O88" s="10"/>
      <c r="P88" s="10"/>
      <c r="Q88" s="10"/>
      <c r="R88" s="10"/>
      <c r="S88" s="37"/>
      <c r="T88" s="18"/>
    </row>
    <row r="89" spans="1:20" s="58" customFormat="1" hidden="1" x14ac:dyDescent="0.2">
      <c r="A89" s="57"/>
      <c r="B89" s="29">
        <f t="shared" si="12"/>
        <v>0</v>
      </c>
      <c r="C89" s="5"/>
      <c r="D89" s="11"/>
      <c r="E89" s="11"/>
      <c r="F89" s="11"/>
      <c r="G89" s="6"/>
      <c r="H89" s="6"/>
      <c r="I89" s="7"/>
      <c r="J89" s="8"/>
      <c r="K89" s="8"/>
      <c r="L89" s="8"/>
      <c r="M89" s="9"/>
      <c r="N89" s="10"/>
      <c r="O89" s="10"/>
      <c r="P89" s="10"/>
      <c r="Q89" s="10"/>
      <c r="R89" s="10"/>
      <c r="S89" s="37"/>
      <c r="T89" s="18"/>
    </row>
    <row r="90" spans="1:20" s="58" customFormat="1" hidden="1" x14ac:dyDescent="0.2">
      <c r="A90" s="57"/>
      <c r="B90" s="29">
        <f t="shared" si="12"/>
        <v>0</v>
      </c>
      <c r="C90" s="5"/>
      <c r="D90" s="11"/>
      <c r="E90" s="11"/>
      <c r="F90" s="11"/>
      <c r="G90" s="6"/>
      <c r="H90" s="6"/>
      <c r="I90" s="7"/>
      <c r="J90" s="8"/>
      <c r="K90" s="8"/>
      <c r="L90" s="8"/>
      <c r="M90" s="9"/>
      <c r="N90" s="10"/>
      <c r="O90" s="10"/>
      <c r="P90" s="10"/>
      <c r="Q90" s="10"/>
      <c r="R90" s="10"/>
      <c r="S90" s="37"/>
      <c r="T90" s="18"/>
    </row>
    <row r="91" spans="1:20" s="58" customFormat="1" hidden="1" x14ac:dyDescent="0.2">
      <c r="A91" s="57"/>
      <c r="B91" s="29">
        <f t="shared" si="12"/>
        <v>0</v>
      </c>
      <c r="C91" s="5"/>
      <c r="D91" s="11"/>
      <c r="E91" s="11"/>
      <c r="F91" s="11"/>
      <c r="G91" s="6"/>
      <c r="H91" s="6"/>
      <c r="I91" s="7"/>
      <c r="J91" s="8"/>
      <c r="K91" s="8"/>
      <c r="L91" s="8"/>
      <c r="M91" s="9"/>
      <c r="N91" s="10"/>
      <c r="O91" s="10"/>
      <c r="P91" s="10"/>
      <c r="Q91" s="10"/>
      <c r="R91" s="10"/>
      <c r="S91" s="37"/>
      <c r="T91" s="18"/>
    </row>
    <row r="92" spans="1:20" s="58" customFormat="1" hidden="1" x14ac:dyDescent="0.2">
      <c r="A92" s="57"/>
      <c r="B92" s="29">
        <f t="shared" si="12"/>
        <v>0</v>
      </c>
      <c r="C92" s="5"/>
      <c r="D92" s="11"/>
      <c r="E92" s="11"/>
      <c r="F92" s="11"/>
      <c r="G92" s="6"/>
      <c r="H92" s="6"/>
      <c r="I92" s="7"/>
      <c r="J92" s="8"/>
      <c r="K92" s="8"/>
      <c r="L92" s="8"/>
      <c r="M92" s="9"/>
      <c r="N92" s="10"/>
      <c r="O92" s="10"/>
      <c r="P92" s="10"/>
      <c r="Q92" s="10"/>
      <c r="R92" s="10"/>
      <c r="S92" s="37"/>
      <c r="T92" s="18"/>
    </row>
    <row r="93" spans="1:20" s="58" customFormat="1" hidden="1" x14ac:dyDescent="0.2">
      <c r="A93" s="57"/>
      <c r="B93" s="29">
        <f t="shared" si="12"/>
        <v>0</v>
      </c>
      <c r="C93" s="5"/>
      <c r="D93" s="11"/>
      <c r="E93" s="11"/>
      <c r="F93" s="11"/>
      <c r="G93" s="6"/>
      <c r="H93" s="6"/>
      <c r="I93" s="7"/>
      <c r="J93" s="8"/>
      <c r="K93" s="8"/>
      <c r="L93" s="8"/>
      <c r="M93" s="9"/>
      <c r="N93" s="10"/>
      <c r="O93" s="10"/>
      <c r="P93" s="10"/>
      <c r="Q93" s="10"/>
      <c r="R93" s="10"/>
      <c r="S93" s="37"/>
      <c r="T93" s="18"/>
    </row>
    <row r="94" spans="1:20" s="58" customFormat="1" hidden="1" x14ac:dyDescent="0.2">
      <c r="A94" s="57"/>
      <c r="B94" s="29">
        <f t="shared" si="12"/>
        <v>0</v>
      </c>
      <c r="C94" s="5"/>
      <c r="D94" s="11"/>
      <c r="E94" s="11"/>
      <c r="F94" s="11"/>
      <c r="G94" s="6"/>
      <c r="H94" s="6"/>
      <c r="I94" s="7"/>
      <c r="J94" s="8"/>
      <c r="K94" s="8"/>
      <c r="L94" s="8"/>
      <c r="M94" s="9"/>
      <c r="N94" s="10"/>
      <c r="O94" s="10"/>
      <c r="P94" s="10"/>
      <c r="Q94" s="10"/>
      <c r="R94" s="10"/>
      <c r="S94" s="37"/>
      <c r="T94" s="18"/>
    </row>
    <row r="95" spans="1:20" s="58" customFormat="1" hidden="1" x14ac:dyDescent="0.2">
      <c r="A95" s="57"/>
      <c r="B95" s="29">
        <f t="shared" si="12"/>
        <v>0</v>
      </c>
      <c r="C95" s="5"/>
      <c r="D95" s="11"/>
      <c r="E95" s="11"/>
      <c r="F95" s="11"/>
      <c r="G95" s="6"/>
      <c r="H95" s="6"/>
      <c r="I95" s="7"/>
      <c r="J95" s="8"/>
      <c r="K95" s="8"/>
      <c r="L95" s="8"/>
      <c r="M95" s="9"/>
      <c r="N95" s="10"/>
      <c r="O95" s="10"/>
      <c r="P95" s="10"/>
      <c r="Q95" s="10"/>
      <c r="R95" s="10"/>
      <c r="S95" s="37"/>
      <c r="T95" s="18"/>
    </row>
    <row r="96" spans="1:20" s="58" customFormat="1" hidden="1" x14ac:dyDescent="0.2">
      <c r="A96" s="57"/>
      <c r="B96" s="29">
        <f t="shared" si="12"/>
        <v>0</v>
      </c>
      <c r="C96" s="5"/>
      <c r="D96" s="11"/>
      <c r="E96" s="11"/>
      <c r="F96" s="11"/>
      <c r="G96" s="6"/>
      <c r="H96" s="6"/>
      <c r="I96" s="7"/>
      <c r="J96" s="8"/>
      <c r="K96" s="8"/>
      <c r="L96" s="8"/>
      <c r="M96" s="9"/>
      <c r="N96" s="10"/>
      <c r="O96" s="10"/>
      <c r="P96" s="10"/>
      <c r="Q96" s="10"/>
      <c r="R96" s="10"/>
      <c r="S96" s="37"/>
      <c r="T96" s="18"/>
    </row>
    <row r="97" spans="1:20" s="58" customFormat="1" hidden="1" x14ac:dyDescent="0.2">
      <c r="A97" s="57"/>
      <c r="B97" s="29">
        <f t="shared" si="12"/>
        <v>0</v>
      </c>
      <c r="C97" s="5"/>
      <c r="D97" s="11"/>
      <c r="E97" s="11"/>
      <c r="F97" s="11"/>
      <c r="G97" s="6"/>
      <c r="H97" s="6"/>
      <c r="I97" s="7"/>
      <c r="J97" s="8"/>
      <c r="K97" s="8"/>
      <c r="L97" s="8"/>
      <c r="M97" s="9"/>
      <c r="N97" s="10"/>
      <c r="O97" s="10"/>
      <c r="P97" s="10"/>
      <c r="Q97" s="10"/>
      <c r="R97" s="10"/>
      <c r="S97" s="37"/>
      <c r="T97" s="18"/>
    </row>
    <row r="98" spans="1:20" s="58" customFormat="1" hidden="1" x14ac:dyDescent="0.2">
      <c r="A98" s="57"/>
      <c r="B98" s="29">
        <f t="shared" si="12"/>
        <v>0</v>
      </c>
      <c r="C98" s="5"/>
      <c r="D98" s="11"/>
      <c r="E98" s="11"/>
      <c r="F98" s="11"/>
      <c r="G98" s="6"/>
      <c r="H98" s="6"/>
      <c r="I98" s="7"/>
      <c r="J98" s="8"/>
      <c r="K98" s="8"/>
      <c r="L98" s="8"/>
      <c r="M98" s="9"/>
      <c r="N98" s="10"/>
      <c r="O98" s="10"/>
      <c r="P98" s="10"/>
      <c r="Q98" s="10"/>
      <c r="R98" s="10"/>
      <c r="S98" s="37"/>
      <c r="T98" s="18"/>
    </row>
    <row r="99" spans="1:20" s="58" customFormat="1" hidden="1" x14ac:dyDescent="0.2">
      <c r="A99" s="57"/>
      <c r="B99" s="29">
        <f t="shared" si="12"/>
        <v>0</v>
      </c>
      <c r="C99" s="5"/>
      <c r="D99" s="11"/>
      <c r="E99" s="11"/>
      <c r="F99" s="11"/>
      <c r="G99" s="6"/>
      <c r="H99" s="6"/>
      <c r="I99" s="7"/>
      <c r="J99" s="8"/>
      <c r="K99" s="8"/>
      <c r="L99" s="8"/>
      <c r="M99" s="9"/>
      <c r="N99" s="10"/>
      <c r="O99" s="10"/>
      <c r="P99" s="10"/>
      <c r="Q99" s="10"/>
      <c r="R99" s="10"/>
      <c r="S99" s="37"/>
      <c r="T99" s="18"/>
    </row>
    <row r="100" spans="1:20" s="58" customFormat="1" hidden="1" x14ac:dyDescent="0.2">
      <c r="A100" s="57"/>
      <c r="B100" s="29">
        <f t="shared" si="12"/>
        <v>0</v>
      </c>
      <c r="C100" s="5"/>
      <c r="D100" s="11"/>
      <c r="E100" s="11"/>
      <c r="F100" s="11"/>
      <c r="G100" s="6"/>
      <c r="H100" s="6"/>
      <c r="I100" s="7"/>
      <c r="J100" s="8"/>
      <c r="K100" s="8"/>
      <c r="L100" s="8"/>
      <c r="M100" s="9"/>
      <c r="N100" s="10"/>
      <c r="O100" s="10"/>
      <c r="P100" s="10"/>
      <c r="Q100" s="10"/>
      <c r="R100" s="10"/>
      <c r="S100" s="37"/>
      <c r="T100" s="18"/>
    </row>
    <row r="101" spans="1:20" s="58" customFormat="1" hidden="1" x14ac:dyDescent="0.2">
      <c r="A101" s="57"/>
      <c r="B101" s="29">
        <f t="shared" si="12"/>
        <v>0</v>
      </c>
      <c r="C101" s="5"/>
      <c r="D101" s="11"/>
      <c r="E101" s="11"/>
      <c r="F101" s="11"/>
      <c r="G101" s="6"/>
      <c r="H101" s="6"/>
      <c r="I101" s="7"/>
      <c r="J101" s="8"/>
      <c r="K101" s="8"/>
      <c r="L101" s="8"/>
      <c r="M101" s="9"/>
      <c r="N101" s="10"/>
      <c r="O101" s="10"/>
      <c r="P101" s="10"/>
      <c r="Q101" s="10"/>
      <c r="R101" s="10"/>
      <c r="S101" s="37"/>
      <c r="T101" s="18"/>
    </row>
    <row r="102" spans="1:20" s="58" customFormat="1" hidden="1" x14ac:dyDescent="0.2">
      <c r="A102" s="57"/>
      <c r="B102" s="29">
        <f t="shared" si="12"/>
        <v>0</v>
      </c>
      <c r="C102" s="5"/>
      <c r="D102" s="11"/>
      <c r="E102" s="11"/>
      <c r="F102" s="11"/>
      <c r="G102" s="6"/>
      <c r="H102" s="6"/>
      <c r="I102" s="7"/>
      <c r="J102" s="8"/>
      <c r="K102" s="8"/>
      <c r="L102" s="8"/>
      <c r="M102" s="9"/>
      <c r="N102" s="10"/>
      <c r="O102" s="10"/>
      <c r="P102" s="10"/>
      <c r="Q102" s="10"/>
      <c r="R102" s="10"/>
      <c r="S102" s="37"/>
      <c r="T102" s="18"/>
    </row>
    <row r="103" spans="1:20" s="58" customFormat="1" hidden="1" x14ac:dyDescent="0.2">
      <c r="A103" s="57"/>
      <c r="B103" s="29">
        <f t="shared" si="12"/>
        <v>0</v>
      </c>
      <c r="C103" s="5"/>
      <c r="D103" s="11"/>
      <c r="E103" s="11"/>
      <c r="F103" s="11"/>
      <c r="G103" s="6"/>
      <c r="H103" s="6"/>
      <c r="I103" s="7"/>
      <c r="J103" s="8"/>
      <c r="K103" s="8"/>
      <c r="L103" s="8"/>
      <c r="M103" s="9"/>
      <c r="N103" s="10"/>
      <c r="O103" s="10"/>
      <c r="P103" s="10"/>
      <c r="Q103" s="10"/>
      <c r="R103" s="10"/>
      <c r="S103" s="37"/>
      <c r="T103" s="18"/>
    </row>
    <row r="104" spans="1:20" s="58" customFormat="1" hidden="1" x14ac:dyDescent="0.2">
      <c r="A104" s="57"/>
      <c r="B104" s="29">
        <f t="shared" si="12"/>
        <v>0</v>
      </c>
      <c r="C104" s="5"/>
      <c r="D104" s="11"/>
      <c r="E104" s="11"/>
      <c r="F104" s="11"/>
      <c r="G104" s="6"/>
      <c r="H104" s="6"/>
      <c r="I104" s="7"/>
      <c r="J104" s="8"/>
      <c r="K104" s="8"/>
      <c r="L104" s="8"/>
      <c r="M104" s="9"/>
      <c r="N104" s="10"/>
      <c r="O104" s="10"/>
      <c r="P104" s="10"/>
      <c r="Q104" s="10"/>
      <c r="R104" s="10"/>
      <c r="S104" s="37"/>
      <c r="T104" s="18"/>
    </row>
    <row r="105" spans="1:20" s="58" customFormat="1" hidden="1" x14ac:dyDescent="0.2">
      <c r="A105" s="57"/>
      <c r="B105" s="29">
        <f t="shared" si="12"/>
        <v>0</v>
      </c>
      <c r="C105" s="5"/>
      <c r="D105" s="11"/>
      <c r="E105" s="11"/>
      <c r="F105" s="11"/>
      <c r="G105" s="6"/>
      <c r="H105" s="6"/>
      <c r="I105" s="7"/>
      <c r="J105" s="8"/>
      <c r="K105" s="8"/>
      <c r="L105" s="8"/>
      <c r="M105" s="9"/>
      <c r="N105" s="10"/>
      <c r="O105" s="10"/>
      <c r="P105" s="10"/>
      <c r="Q105" s="10"/>
      <c r="R105" s="10"/>
      <c r="S105" s="37"/>
      <c r="T105" s="18"/>
    </row>
    <row r="106" spans="1:20" s="58" customFormat="1" hidden="1" x14ac:dyDescent="0.2">
      <c r="A106" s="57"/>
      <c r="B106" s="29">
        <f t="shared" si="12"/>
        <v>0</v>
      </c>
      <c r="C106" s="5"/>
      <c r="D106" s="11"/>
      <c r="E106" s="11"/>
      <c r="F106" s="11"/>
      <c r="G106" s="6"/>
      <c r="H106" s="6"/>
      <c r="I106" s="7"/>
      <c r="J106" s="8"/>
      <c r="K106" s="8"/>
      <c r="L106" s="8"/>
      <c r="M106" s="9"/>
      <c r="N106" s="10"/>
      <c r="O106" s="10"/>
      <c r="P106" s="10"/>
      <c r="Q106" s="10"/>
      <c r="R106" s="10"/>
      <c r="S106" s="37"/>
      <c r="T106" s="18"/>
    </row>
    <row r="107" spans="1:20" s="58" customFormat="1" hidden="1" x14ac:dyDescent="0.2">
      <c r="A107" s="57"/>
      <c r="B107" s="29">
        <f t="shared" si="12"/>
        <v>0</v>
      </c>
      <c r="C107" s="5"/>
      <c r="D107" s="11"/>
      <c r="E107" s="11"/>
      <c r="F107" s="11"/>
      <c r="G107" s="6"/>
      <c r="H107" s="6"/>
      <c r="I107" s="7"/>
      <c r="J107" s="8"/>
      <c r="K107" s="8"/>
      <c r="L107" s="8"/>
      <c r="M107" s="9"/>
      <c r="N107" s="10"/>
      <c r="O107" s="10"/>
      <c r="P107" s="10"/>
      <c r="Q107" s="10"/>
      <c r="R107" s="10"/>
      <c r="S107" s="37"/>
      <c r="T107" s="18"/>
    </row>
    <row r="108" spans="1:20" s="58" customFormat="1" hidden="1" x14ac:dyDescent="0.2">
      <c r="A108" s="57"/>
      <c r="B108" s="29">
        <f t="shared" si="12"/>
        <v>0</v>
      </c>
      <c r="C108" s="5"/>
      <c r="D108" s="11"/>
      <c r="E108" s="11"/>
      <c r="F108" s="11"/>
      <c r="G108" s="6"/>
      <c r="H108" s="6"/>
      <c r="I108" s="7"/>
      <c r="J108" s="8"/>
      <c r="K108" s="8"/>
      <c r="L108" s="8"/>
      <c r="M108" s="9"/>
      <c r="N108" s="10"/>
      <c r="O108" s="10"/>
      <c r="P108" s="10"/>
      <c r="Q108" s="10"/>
      <c r="R108" s="10"/>
      <c r="S108" s="37"/>
      <c r="T108" s="18"/>
    </row>
    <row r="109" spans="1:20" s="58" customFormat="1" hidden="1" x14ac:dyDescent="0.2">
      <c r="A109" s="57"/>
      <c r="B109" s="29">
        <f t="shared" si="12"/>
        <v>0</v>
      </c>
      <c r="C109" s="5"/>
      <c r="D109" s="11"/>
      <c r="E109" s="11"/>
      <c r="F109" s="11"/>
      <c r="G109" s="6"/>
      <c r="H109" s="6"/>
      <c r="I109" s="7"/>
      <c r="J109" s="8"/>
      <c r="K109" s="8"/>
      <c r="L109" s="8"/>
      <c r="M109" s="9"/>
      <c r="N109" s="10"/>
      <c r="O109" s="10"/>
      <c r="P109" s="10"/>
      <c r="Q109" s="10"/>
      <c r="R109" s="10"/>
      <c r="S109" s="37"/>
      <c r="T109" s="18"/>
    </row>
    <row r="110" spans="1:20" s="58" customFormat="1" hidden="1" x14ac:dyDescent="0.2">
      <c r="A110" s="57"/>
      <c r="B110" s="29">
        <f t="shared" si="12"/>
        <v>0</v>
      </c>
      <c r="C110" s="5"/>
      <c r="D110" s="11"/>
      <c r="E110" s="11"/>
      <c r="F110" s="11"/>
      <c r="G110" s="6"/>
      <c r="H110" s="6"/>
      <c r="I110" s="7"/>
      <c r="J110" s="8"/>
      <c r="K110" s="8"/>
      <c r="L110" s="8"/>
      <c r="M110" s="9"/>
      <c r="N110" s="10"/>
      <c r="O110" s="10"/>
      <c r="P110" s="10"/>
      <c r="Q110" s="10"/>
      <c r="R110" s="10"/>
      <c r="S110" s="37"/>
      <c r="T110" s="18"/>
    </row>
    <row r="111" spans="1:20" s="58" customFormat="1" hidden="1" x14ac:dyDescent="0.2">
      <c r="A111" s="57"/>
      <c r="B111" s="29">
        <f t="shared" si="12"/>
        <v>0</v>
      </c>
      <c r="C111" s="5"/>
      <c r="D111" s="11"/>
      <c r="E111" s="11"/>
      <c r="F111" s="11"/>
      <c r="G111" s="6"/>
      <c r="H111" s="6"/>
      <c r="I111" s="7"/>
      <c r="J111" s="8"/>
      <c r="K111" s="8"/>
      <c r="L111" s="8"/>
      <c r="M111" s="9"/>
      <c r="N111" s="10"/>
      <c r="O111" s="10"/>
      <c r="P111" s="10"/>
      <c r="Q111" s="10"/>
      <c r="R111" s="10"/>
      <c r="S111" s="37"/>
      <c r="T111" s="18"/>
    </row>
    <row r="112" spans="1:20" s="58" customFormat="1" hidden="1" x14ac:dyDescent="0.2">
      <c r="A112" s="57"/>
      <c r="B112" s="29">
        <f t="shared" ref="B112:B144" si="13">M112</f>
        <v>0</v>
      </c>
      <c r="C112" s="5"/>
      <c r="D112" s="11"/>
      <c r="E112" s="11"/>
      <c r="F112" s="11"/>
      <c r="G112" s="6"/>
      <c r="H112" s="6"/>
      <c r="I112" s="7"/>
      <c r="J112" s="8"/>
      <c r="K112" s="8"/>
      <c r="L112" s="8"/>
      <c r="M112" s="9"/>
      <c r="N112" s="10"/>
      <c r="O112" s="10"/>
      <c r="P112" s="10"/>
      <c r="Q112" s="10"/>
      <c r="R112" s="10"/>
      <c r="S112" s="37"/>
      <c r="T112" s="18"/>
    </row>
    <row r="113" spans="1:20" s="58" customFormat="1" hidden="1" x14ac:dyDescent="0.2">
      <c r="A113" s="57"/>
      <c r="B113" s="29">
        <f t="shared" si="13"/>
        <v>0</v>
      </c>
      <c r="C113" s="5"/>
      <c r="D113" s="11"/>
      <c r="E113" s="11"/>
      <c r="F113" s="11"/>
      <c r="G113" s="6"/>
      <c r="H113" s="6"/>
      <c r="I113" s="7"/>
      <c r="J113" s="8"/>
      <c r="K113" s="8"/>
      <c r="L113" s="8"/>
      <c r="M113" s="9"/>
      <c r="N113" s="10"/>
      <c r="O113" s="10"/>
      <c r="P113" s="10"/>
      <c r="Q113" s="10"/>
      <c r="R113" s="10"/>
      <c r="S113" s="37"/>
      <c r="T113" s="18"/>
    </row>
    <row r="114" spans="1:20" s="58" customFormat="1" hidden="1" x14ac:dyDescent="0.2">
      <c r="A114" s="57"/>
      <c r="B114" s="29">
        <f t="shared" si="13"/>
        <v>0</v>
      </c>
      <c r="C114" s="5"/>
      <c r="D114" s="11"/>
      <c r="E114" s="11"/>
      <c r="F114" s="11"/>
      <c r="G114" s="6"/>
      <c r="H114" s="6"/>
      <c r="I114" s="7"/>
      <c r="J114" s="8"/>
      <c r="K114" s="8"/>
      <c r="L114" s="8"/>
      <c r="M114" s="9"/>
      <c r="N114" s="10"/>
      <c r="O114" s="10"/>
      <c r="P114" s="10"/>
      <c r="Q114" s="10"/>
      <c r="R114" s="10"/>
      <c r="S114" s="37"/>
      <c r="T114" s="18"/>
    </row>
    <row r="115" spans="1:20" s="58" customFormat="1" hidden="1" x14ac:dyDescent="0.2">
      <c r="A115" s="57"/>
      <c r="B115" s="29">
        <f t="shared" si="13"/>
        <v>0</v>
      </c>
      <c r="C115" s="5"/>
      <c r="D115" s="11"/>
      <c r="E115" s="11"/>
      <c r="F115" s="11"/>
      <c r="G115" s="6"/>
      <c r="H115" s="6"/>
      <c r="I115" s="7"/>
      <c r="J115" s="8"/>
      <c r="K115" s="8"/>
      <c r="L115" s="8"/>
      <c r="M115" s="9"/>
      <c r="N115" s="10"/>
      <c r="O115" s="10"/>
      <c r="P115" s="10"/>
      <c r="Q115" s="10"/>
      <c r="R115" s="10"/>
      <c r="S115" s="37"/>
      <c r="T115" s="18"/>
    </row>
    <row r="116" spans="1:20" s="58" customFormat="1" hidden="1" x14ac:dyDescent="0.2">
      <c r="A116" s="57"/>
      <c r="B116" s="29">
        <f t="shared" si="13"/>
        <v>0</v>
      </c>
      <c r="C116" s="5"/>
      <c r="D116" s="11"/>
      <c r="E116" s="11"/>
      <c r="F116" s="11"/>
      <c r="G116" s="6"/>
      <c r="H116" s="6"/>
      <c r="I116" s="7"/>
      <c r="J116" s="8"/>
      <c r="K116" s="8"/>
      <c r="L116" s="8"/>
      <c r="M116" s="9"/>
      <c r="N116" s="10"/>
      <c r="O116" s="10"/>
      <c r="P116" s="10"/>
      <c r="Q116" s="10"/>
      <c r="R116" s="10"/>
      <c r="S116" s="37"/>
      <c r="T116" s="18"/>
    </row>
    <row r="117" spans="1:20" s="58" customFormat="1" hidden="1" x14ac:dyDescent="0.2">
      <c r="A117" s="57"/>
      <c r="B117" s="29">
        <f t="shared" si="13"/>
        <v>0</v>
      </c>
      <c r="C117" s="5"/>
      <c r="D117" s="11"/>
      <c r="E117" s="11"/>
      <c r="F117" s="11"/>
      <c r="G117" s="6"/>
      <c r="H117" s="6"/>
      <c r="I117" s="7"/>
      <c r="J117" s="8"/>
      <c r="K117" s="8"/>
      <c r="L117" s="8"/>
      <c r="M117" s="9"/>
      <c r="N117" s="10"/>
      <c r="O117" s="10"/>
      <c r="P117" s="10"/>
      <c r="Q117" s="10"/>
      <c r="R117" s="10"/>
      <c r="S117" s="37"/>
      <c r="T117" s="18"/>
    </row>
    <row r="118" spans="1:20" s="58" customFormat="1" hidden="1" x14ac:dyDescent="0.2">
      <c r="A118" s="57"/>
      <c r="B118" s="29">
        <f t="shared" si="13"/>
        <v>0</v>
      </c>
      <c r="C118" s="5"/>
      <c r="D118" s="11"/>
      <c r="E118" s="11"/>
      <c r="F118" s="11"/>
      <c r="G118" s="6"/>
      <c r="H118" s="6"/>
      <c r="I118" s="7"/>
      <c r="J118" s="8"/>
      <c r="K118" s="8"/>
      <c r="L118" s="8"/>
      <c r="M118" s="9"/>
      <c r="N118" s="10"/>
      <c r="O118" s="10"/>
      <c r="P118" s="10"/>
      <c r="Q118" s="10"/>
      <c r="R118" s="10"/>
      <c r="S118" s="37"/>
      <c r="T118" s="18"/>
    </row>
    <row r="119" spans="1:20" s="58" customFormat="1" hidden="1" x14ac:dyDescent="0.2">
      <c r="A119" s="57"/>
      <c r="B119" s="29">
        <f t="shared" si="13"/>
        <v>0</v>
      </c>
      <c r="C119" s="5"/>
      <c r="D119" s="11"/>
      <c r="E119" s="11"/>
      <c r="F119" s="11"/>
      <c r="G119" s="6"/>
      <c r="H119" s="6"/>
      <c r="I119" s="7"/>
      <c r="J119" s="8"/>
      <c r="K119" s="8"/>
      <c r="L119" s="8"/>
      <c r="M119" s="9"/>
      <c r="N119" s="10"/>
      <c r="O119" s="10"/>
      <c r="P119" s="10"/>
      <c r="Q119" s="10"/>
      <c r="R119" s="10"/>
      <c r="S119" s="37"/>
      <c r="T119" s="18"/>
    </row>
    <row r="120" spans="1:20" s="58" customFormat="1" hidden="1" x14ac:dyDescent="0.2">
      <c r="A120" s="57"/>
      <c r="B120" s="29">
        <f t="shared" si="13"/>
        <v>0</v>
      </c>
      <c r="C120" s="5"/>
      <c r="D120" s="11"/>
      <c r="E120" s="11"/>
      <c r="F120" s="11"/>
      <c r="G120" s="6"/>
      <c r="H120" s="6"/>
      <c r="I120" s="7"/>
      <c r="J120" s="8"/>
      <c r="K120" s="8"/>
      <c r="L120" s="8"/>
      <c r="M120" s="9"/>
      <c r="N120" s="10"/>
      <c r="O120" s="10"/>
      <c r="P120" s="10"/>
      <c r="Q120" s="10"/>
      <c r="R120" s="10"/>
      <c r="S120" s="37"/>
      <c r="T120" s="18"/>
    </row>
    <row r="121" spans="1:20" s="58" customFormat="1" hidden="1" x14ac:dyDescent="0.2">
      <c r="A121" s="57"/>
      <c r="B121" s="29">
        <f t="shared" si="13"/>
        <v>0</v>
      </c>
      <c r="C121" s="5"/>
      <c r="D121" s="11"/>
      <c r="E121" s="11"/>
      <c r="F121" s="11"/>
      <c r="G121" s="6"/>
      <c r="H121" s="6"/>
      <c r="I121" s="7"/>
      <c r="J121" s="8"/>
      <c r="K121" s="8"/>
      <c r="L121" s="8"/>
      <c r="M121" s="9"/>
      <c r="N121" s="10"/>
      <c r="O121" s="10"/>
      <c r="P121" s="10"/>
      <c r="Q121" s="10"/>
      <c r="R121" s="10"/>
      <c r="S121" s="37"/>
      <c r="T121" s="18"/>
    </row>
    <row r="122" spans="1:20" s="58" customFormat="1" hidden="1" x14ac:dyDescent="0.2">
      <c r="A122" s="57"/>
      <c r="B122" s="29">
        <f t="shared" si="13"/>
        <v>0</v>
      </c>
      <c r="C122" s="5"/>
      <c r="D122" s="11"/>
      <c r="E122" s="11"/>
      <c r="F122" s="11"/>
      <c r="G122" s="6"/>
      <c r="H122" s="6"/>
      <c r="I122" s="7"/>
      <c r="J122" s="8"/>
      <c r="K122" s="8"/>
      <c r="L122" s="8"/>
      <c r="M122" s="9"/>
      <c r="N122" s="10"/>
      <c r="O122" s="10"/>
      <c r="P122" s="10"/>
      <c r="Q122" s="10"/>
      <c r="R122" s="10"/>
      <c r="S122" s="37"/>
      <c r="T122" s="18"/>
    </row>
    <row r="123" spans="1:20" s="58" customFormat="1" hidden="1" x14ac:dyDescent="0.2">
      <c r="A123" s="57"/>
      <c r="B123" s="29">
        <f t="shared" si="13"/>
        <v>0</v>
      </c>
      <c r="C123" s="5"/>
      <c r="D123" s="11"/>
      <c r="E123" s="11"/>
      <c r="F123" s="11"/>
      <c r="G123" s="6"/>
      <c r="H123" s="6"/>
      <c r="I123" s="7"/>
      <c r="J123" s="8"/>
      <c r="K123" s="8"/>
      <c r="L123" s="8"/>
      <c r="M123" s="9"/>
      <c r="N123" s="10"/>
      <c r="O123" s="10"/>
      <c r="P123" s="10"/>
      <c r="Q123" s="10"/>
      <c r="R123" s="10"/>
      <c r="S123" s="37"/>
      <c r="T123" s="18"/>
    </row>
    <row r="124" spans="1:20" s="58" customFormat="1" hidden="1" x14ac:dyDescent="0.2">
      <c r="A124" s="57"/>
      <c r="B124" s="29">
        <f t="shared" si="13"/>
        <v>0</v>
      </c>
      <c r="C124" s="5"/>
      <c r="D124" s="11"/>
      <c r="E124" s="11"/>
      <c r="F124" s="11"/>
      <c r="G124" s="6"/>
      <c r="H124" s="6"/>
      <c r="I124" s="7"/>
      <c r="J124" s="8"/>
      <c r="K124" s="8"/>
      <c r="L124" s="8"/>
      <c r="M124" s="9"/>
      <c r="N124" s="10"/>
      <c r="O124" s="10"/>
      <c r="P124" s="10"/>
      <c r="Q124" s="10"/>
      <c r="R124" s="10"/>
      <c r="S124" s="37"/>
      <c r="T124" s="18"/>
    </row>
    <row r="125" spans="1:20" s="58" customFormat="1" hidden="1" x14ac:dyDescent="0.2">
      <c r="A125" s="57"/>
      <c r="B125" s="29">
        <f t="shared" si="13"/>
        <v>0</v>
      </c>
      <c r="C125" s="5"/>
      <c r="D125" s="11"/>
      <c r="E125" s="11"/>
      <c r="F125" s="11"/>
      <c r="G125" s="6"/>
      <c r="H125" s="6"/>
      <c r="I125" s="7"/>
      <c r="J125" s="8"/>
      <c r="K125" s="8"/>
      <c r="L125" s="8"/>
      <c r="M125" s="9"/>
      <c r="N125" s="10"/>
      <c r="O125" s="10"/>
      <c r="P125" s="10"/>
      <c r="Q125" s="10"/>
      <c r="R125" s="10"/>
      <c r="S125" s="37"/>
      <c r="T125" s="18"/>
    </row>
    <row r="126" spans="1:20" s="58" customFormat="1" hidden="1" x14ac:dyDescent="0.2">
      <c r="A126" s="57"/>
      <c r="B126" s="29">
        <f t="shared" si="13"/>
        <v>0</v>
      </c>
      <c r="C126" s="5"/>
      <c r="D126" s="11"/>
      <c r="E126" s="11"/>
      <c r="F126" s="11"/>
      <c r="G126" s="6"/>
      <c r="H126" s="6"/>
      <c r="I126" s="7"/>
      <c r="J126" s="8"/>
      <c r="K126" s="8"/>
      <c r="L126" s="8"/>
      <c r="M126" s="9"/>
      <c r="N126" s="10"/>
      <c r="O126" s="10"/>
      <c r="P126" s="10"/>
      <c r="Q126" s="10"/>
      <c r="R126" s="10"/>
      <c r="S126" s="37"/>
      <c r="T126" s="18"/>
    </row>
    <row r="127" spans="1:20" s="58" customFormat="1" hidden="1" x14ac:dyDescent="0.2">
      <c r="A127" s="57"/>
      <c r="B127" s="29">
        <f t="shared" si="13"/>
        <v>0</v>
      </c>
      <c r="C127" s="5"/>
      <c r="D127" s="11"/>
      <c r="E127" s="11"/>
      <c r="F127" s="11"/>
      <c r="G127" s="6"/>
      <c r="H127" s="6"/>
      <c r="I127" s="7"/>
      <c r="J127" s="8"/>
      <c r="K127" s="8"/>
      <c r="L127" s="8"/>
      <c r="M127" s="9"/>
      <c r="N127" s="10"/>
      <c r="O127" s="10"/>
      <c r="P127" s="10"/>
      <c r="Q127" s="10"/>
      <c r="R127" s="10"/>
      <c r="S127" s="37"/>
      <c r="T127" s="18"/>
    </row>
    <row r="128" spans="1:20" s="58" customFormat="1" hidden="1" x14ac:dyDescent="0.2">
      <c r="A128" s="57"/>
      <c r="B128" s="29">
        <f t="shared" si="13"/>
        <v>0</v>
      </c>
      <c r="C128" s="5"/>
      <c r="D128" s="11"/>
      <c r="E128" s="11"/>
      <c r="F128" s="11"/>
      <c r="G128" s="6"/>
      <c r="H128" s="6"/>
      <c r="I128" s="7"/>
      <c r="J128" s="8"/>
      <c r="K128" s="8"/>
      <c r="L128" s="8"/>
      <c r="M128" s="9"/>
      <c r="N128" s="10"/>
      <c r="O128" s="10"/>
      <c r="P128" s="10"/>
      <c r="Q128" s="10"/>
      <c r="R128" s="10"/>
      <c r="S128" s="37"/>
      <c r="T128" s="18"/>
    </row>
    <row r="129" spans="1:20" s="58" customFormat="1" hidden="1" x14ac:dyDescent="0.2">
      <c r="A129" s="57"/>
      <c r="B129" s="29">
        <f t="shared" si="13"/>
        <v>0</v>
      </c>
      <c r="C129" s="5"/>
      <c r="D129" s="11"/>
      <c r="E129" s="11"/>
      <c r="F129" s="11"/>
      <c r="G129" s="6"/>
      <c r="H129" s="6"/>
      <c r="I129" s="7"/>
      <c r="J129" s="8"/>
      <c r="K129" s="8"/>
      <c r="L129" s="8"/>
      <c r="M129" s="9"/>
      <c r="N129" s="10"/>
      <c r="O129" s="10"/>
      <c r="P129" s="10"/>
      <c r="Q129" s="10"/>
      <c r="R129" s="10"/>
      <c r="S129" s="37"/>
      <c r="T129" s="18"/>
    </row>
    <row r="130" spans="1:20" s="58" customFormat="1" hidden="1" x14ac:dyDescent="0.2">
      <c r="A130" s="57"/>
      <c r="B130" s="29">
        <f t="shared" si="13"/>
        <v>0</v>
      </c>
      <c r="C130" s="5"/>
      <c r="D130" s="11"/>
      <c r="E130" s="11"/>
      <c r="F130" s="11"/>
      <c r="G130" s="6"/>
      <c r="H130" s="6"/>
      <c r="I130" s="7"/>
      <c r="J130" s="8"/>
      <c r="K130" s="8"/>
      <c r="L130" s="8"/>
      <c r="M130" s="9"/>
      <c r="N130" s="10"/>
      <c r="O130" s="10"/>
      <c r="P130" s="10"/>
      <c r="Q130" s="10"/>
      <c r="R130" s="10"/>
      <c r="S130" s="37"/>
      <c r="T130" s="18"/>
    </row>
    <row r="131" spans="1:20" s="58" customFormat="1" hidden="1" x14ac:dyDescent="0.2">
      <c r="A131" s="57"/>
      <c r="B131" s="29">
        <f t="shared" si="13"/>
        <v>0</v>
      </c>
      <c r="C131" s="5"/>
      <c r="D131" s="11"/>
      <c r="E131" s="11"/>
      <c r="F131" s="11"/>
      <c r="G131" s="6"/>
      <c r="H131" s="6"/>
      <c r="I131" s="7"/>
      <c r="J131" s="8"/>
      <c r="K131" s="8"/>
      <c r="L131" s="8"/>
      <c r="M131" s="9"/>
      <c r="N131" s="10"/>
      <c r="O131" s="10"/>
      <c r="P131" s="10"/>
      <c r="Q131" s="10"/>
      <c r="R131" s="10"/>
      <c r="S131" s="37"/>
      <c r="T131" s="18"/>
    </row>
    <row r="132" spans="1:20" s="58" customFormat="1" hidden="1" x14ac:dyDescent="0.2">
      <c r="A132" s="57"/>
      <c r="B132" s="29">
        <f t="shared" si="13"/>
        <v>0</v>
      </c>
      <c r="C132" s="5"/>
      <c r="D132" s="11"/>
      <c r="E132" s="11"/>
      <c r="F132" s="11"/>
      <c r="G132" s="6"/>
      <c r="H132" s="6"/>
      <c r="I132" s="7"/>
      <c r="J132" s="8"/>
      <c r="K132" s="8"/>
      <c r="L132" s="8"/>
      <c r="M132" s="9"/>
      <c r="N132" s="10"/>
      <c r="O132" s="10"/>
      <c r="P132" s="10"/>
      <c r="Q132" s="10"/>
      <c r="R132" s="10"/>
      <c r="S132" s="37"/>
      <c r="T132" s="18"/>
    </row>
    <row r="133" spans="1:20" s="58" customFormat="1" hidden="1" x14ac:dyDescent="0.2">
      <c r="A133" s="57"/>
      <c r="B133" s="29">
        <f t="shared" si="13"/>
        <v>0</v>
      </c>
      <c r="C133" s="5"/>
      <c r="D133" s="11"/>
      <c r="E133" s="11"/>
      <c r="F133" s="11"/>
      <c r="G133" s="6"/>
      <c r="H133" s="6"/>
      <c r="I133" s="7"/>
      <c r="J133" s="8"/>
      <c r="K133" s="8"/>
      <c r="L133" s="8"/>
      <c r="M133" s="9"/>
      <c r="N133" s="10"/>
      <c r="O133" s="10"/>
      <c r="P133" s="10"/>
      <c r="Q133" s="10"/>
      <c r="R133" s="10"/>
      <c r="S133" s="37"/>
      <c r="T133" s="18"/>
    </row>
    <row r="134" spans="1:20" s="58" customFormat="1" hidden="1" x14ac:dyDescent="0.2">
      <c r="A134" s="57"/>
      <c r="B134" s="29">
        <f t="shared" si="13"/>
        <v>0</v>
      </c>
      <c r="C134" s="5"/>
      <c r="D134" s="11"/>
      <c r="E134" s="11"/>
      <c r="F134" s="11"/>
      <c r="G134" s="6"/>
      <c r="H134" s="6"/>
      <c r="I134" s="7"/>
      <c r="J134" s="8"/>
      <c r="K134" s="8"/>
      <c r="L134" s="8"/>
      <c r="M134" s="9"/>
      <c r="N134" s="10"/>
      <c r="O134" s="10"/>
      <c r="P134" s="10"/>
      <c r="Q134" s="10"/>
      <c r="R134" s="10"/>
      <c r="S134" s="37"/>
      <c r="T134" s="18"/>
    </row>
    <row r="135" spans="1:20" s="58" customFormat="1" hidden="1" x14ac:dyDescent="0.2">
      <c r="A135" s="57"/>
      <c r="B135" s="29">
        <f t="shared" si="13"/>
        <v>0</v>
      </c>
      <c r="C135" s="5"/>
      <c r="D135" s="11"/>
      <c r="E135" s="11"/>
      <c r="F135" s="11"/>
      <c r="G135" s="6"/>
      <c r="H135" s="6"/>
      <c r="I135" s="7"/>
      <c r="J135" s="8"/>
      <c r="K135" s="8"/>
      <c r="L135" s="8"/>
      <c r="M135" s="9"/>
      <c r="N135" s="10"/>
      <c r="O135" s="10"/>
      <c r="P135" s="10"/>
      <c r="Q135" s="10"/>
      <c r="R135" s="10"/>
      <c r="S135" s="37"/>
      <c r="T135" s="18"/>
    </row>
    <row r="136" spans="1:20" s="58" customFormat="1" hidden="1" x14ac:dyDescent="0.2">
      <c r="A136" s="57"/>
      <c r="B136" s="29">
        <f t="shared" si="13"/>
        <v>0</v>
      </c>
      <c r="C136" s="5"/>
      <c r="D136" s="11"/>
      <c r="E136" s="11"/>
      <c r="F136" s="11"/>
      <c r="G136" s="6"/>
      <c r="H136" s="6"/>
      <c r="I136" s="7"/>
      <c r="J136" s="8"/>
      <c r="K136" s="8"/>
      <c r="L136" s="8"/>
      <c r="M136" s="9"/>
      <c r="N136" s="10"/>
      <c r="O136" s="10"/>
      <c r="P136" s="10"/>
      <c r="Q136" s="10"/>
      <c r="R136" s="10"/>
      <c r="S136" s="37"/>
      <c r="T136" s="18"/>
    </row>
    <row r="137" spans="1:20" s="58" customFormat="1" hidden="1" x14ac:dyDescent="0.2">
      <c r="A137" s="57"/>
      <c r="B137" s="29">
        <f t="shared" si="13"/>
        <v>0</v>
      </c>
      <c r="C137" s="5"/>
      <c r="D137" s="11"/>
      <c r="E137" s="11"/>
      <c r="F137" s="11"/>
      <c r="G137" s="6"/>
      <c r="H137" s="6"/>
      <c r="I137" s="7"/>
      <c r="J137" s="8"/>
      <c r="K137" s="8"/>
      <c r="L137" s="8"/>
      <c r="M137" s="9"/>
      <c r="N137" s="10"/>
      <c r="O137" s="10"/>
      <c r="P137" s="10"/>
      <c r="Q137" s="10"/>
      <c r="R137" s="10"/>
      <c r="S137" s="37"/>
      <c r="T137" s="18"/>
    </row>
    <row r="138" spans="1:20" s="58" customFormat="1" hidden="1" x14ac:dyDescent="0.2">
      <c r="A138" s="57"/>
      <c r="B138" s="29">
        <f t="shared" si="13"/>
        <v>0</v>
      </c>
      <c r="C138" s="5"/>
      <c r="D138" s="11"/>
      <c r="E138" s="11"/>
      <c r="F138" s="11"/>
      <c r="G138" s="6"/>
      <c r="H138" s="6"/>
      <c r="I138" s="7"/>
      <c r="J138" s="8"/>
      <c r="K138" s="8"/>
      <c r="L138" s="8"/>
      <c r="M138" s="9"/>
      <c r="N138" s="10"/>
      <c r="O138" s="10"/>
      <c r="P138" s="10"/>
      <c r="Q138" s="10"/>
      <c r="R138" s="10"/>
      <c r="S138" s="37"/>
      <c r="T138" s="18"/>
    </row>
    <row r="139" spans="1:20" s="58" customFormat="1" hidden="1" x14ac:dyDescent="0.2">
      <c r="A139" s="57"/>
      <c r="B139" s="29">
        <f t="shared" si="13"/>
        <v>0</v>
      </c>
      <c r="C139" s="5"/>
      <c r="D139" s="11"/>
      <c r="E139" s="11"/>
      <c r="F139" s="11"/>
      <c r="G139" s="6"/>
      <c r="H139" s="6"/>
      <c r="I139" s="7"/>
      <c r="J139" s="8"/>
      <c r="K139" s="8"/>
      <c r="L139" s="8"/>
      <c r="M139" s="9"/>
      <c r="N139" s="10"/>
      <c r="O139" s="10"/>
      <c r="P139" s="10"/>
      <c r="Q139" s="10"/>
      <c r="R139" s="10"/>
      <c r="S139" s="37"/>
      <c r="T139" s="18"/>
    </row>
    <row r="140" spans="1:20" s="58" customFormat="1" hidden="1" x14ac:dyDescent="0.2">
      <c r="A140" s="57"/>
      <c r="B140" s="29">
        <f t="shared" si="13"/>
        <v>0</v>
      </c>
      <c r="C140" s="5"/>
      <c r="D140" s="11"/>
      <c r="E140" s="11"/>
      <c r="F140" s="11"/>
      <c r="G140" s="6"/>
      <c r="H140" s="6"/>
      <c r="I140" s="7"/>
      <c r="J140" s="8"/>
      <c r="K140" s="8"/>
      <c r="L140" s="8"/>
      <c r="M140" s="9"/>
      <c r="N140" s="10"/>
      <c r="O140" s="10"/>
      <c r="P140" s="10"/>
      <c r="Q140" s="10"/>
      <c r="R140" s="10"/>
      <c r="S140" s="37"/>
      <c r="T140" s="18"/>
    </row>
    <row r="141" spans="1:20" s="58" customFormat="1" hidden="1" x14ac:dyDescent="0.2">
      <c r="A141" s="57"/>
      <c r="B141" s="29">
        <f t="shared" si="13"/>
        <v>0</v>
      </c>
      <c r="C141" s="5"/>
      <c r="D141" s="11"/>
      <c r="E141" s="11"/>
      <c r="F141" s="11"/>
      <c r="G141" s="6"/>
      <c r="H141" s="6"/>
      <c r="I141" s="7"/>
      <c r="J141" s="8"/>
      <c r="K141" s="8"/>
      <c r="L141" s="8"/>
      <c r="M141" s="9"/>
      <c r="N141" s="10"/>
      <c r="O141" s="10"/>
      <c r="P141" s="10"/>
      <c r="Q141" s="10"/>
      <c r="R141" s="10"/>
      <c r="S141" s="37"/>
      <c r="T141" s="18"/>
    </row>
    <row r="142" spans="1:20" s="58" customFormat="1" hidden="1" x14ac:dyDescent="0.2">
      <c r="A142" s="57"/>
      <c r="B142" s="29">
        <f t="shared" si="13"/>
        <v>0</v>
      </c>
      <c r="C142" s="5"/>
      <c r="D142" s="11"/>
      <c r="E142" s="11"/>
      <c r="F142" s="11"/>
      <c r="G142" s="6"/>
      <c r="H142" s="6"/>
      <c r="I142" s="7"/>
      <c r="J142" s="8"/>
      <c r="K142" s="8"/>
      <c r="L142" s="8"/>
      <c r="M142" s="9"/>
      <c r="N142" s="10"/>
      <c r="O142" s="10"/>
      <c r="P142" s="10"/>
      <c r="Q142" s="10"/>
      <c r="R142" s="10"/>
      <c r="S142" s="37"/>
      <c r="T142" s="18"/>
    </row>
    <row r="143" spans="1:20" s="58" customFormat="1" hidden="1" x14ac:dyDescent="0.2">
      <c r="A143" s="57"/>
      <c r="B143" s="29">
        <f t="shared" si="13"/>
        <v>0</v>
      </c>
      <c r="C143" s="5"/>
      <c r="D143" s="11"/>
      <c r="E143" s="11"/>
      <c r="F143" s="11"/>
      <c r="G143" s="6"/>
      <c r="H143" s="6"/>
      <c r="I143" s="7"/>
      <c r="J143" s="8"/>
      <c r="K143" s="8"/>
      <c r="L143" s="8"/>
      <c r="M143" s="9"/>
      <c r="N143" s="10"/>
      <c r="O143" s="10"/>
      <c r="P143" s="10"/>
      <c r="Q143" s="10"/>
      <c r="R143" s="10"/>
      <c r="S143" s="37"/>
      <c r="T143" s="18"/>
    </row>
    <row r="144" spans="1:20" s="58" customFormat="1" hidden="1" x14ac:dyDescent="0.2">
      <c r="A144" s="57"/>
      <c r="B144" s="29">
        <f t="shared" si="13"/>
        <v>0</v>
      </c>
      <c r="C144" s="5"/>
      <c r="D144" s="11"/>
      <c r="E144" s="11"/>
      <c r="F144" s="11"/>
      <c r="G144" s="6"/>
      <c r="H144" s="6"/>
      <c r="I144" s="7"/>
      <c r="J144" s="8"/>
      <c r="K144" s="8"/>
      <c r="L144" s="8"/>
      <c r="M144" s="9"/>
      <c r="N144" s="10"/>
      <c r="O144" s="10"/>
      <c r="P144" s="10"/>
      <c r="Q144" s="10"/>
      <c r="R144" s="10"/>
      <c r="S144" s="37"/>
      <c r="T144" s="18"/>
    </row>
    <row r="145" spans="1:23" s="58" customFormat="1" hidden="1" x14ac:dyDescent="0.2">
      <c r="A145" s="57"/>
      <c r="B145" s="29">
        <f>M145</f>
        <v>0</v>
      </c>
      <c r="C145" s="5"/>
      <c r="D145" s="11"/>
      <c r="E145" s="11"/>
      <c r="F145" s="11"/>
      <c r="G145" s="6"/>
      <c r="H145" s="6"/>
      <c r="I145" s="7"/>
      <c r="J145" s="8"/>
      <c r="K145" s="8"/>
      <c r="L145" s="8"/>
      <c r="M145" s="9"/>
      <c r="N145" s="10"/>
      <c r="O145" s="10"/>
      <c r="P145" s="10"/>
      <c r="Q145" s="10"/>
      <c r="R145" s="10"/>
      <c r="S145" s="37"/>
      <c r="T145" s="18"/>
    </row>
    <row r="146" spans="1:23" s="58" customFormat="1" ht="14.25" x14ac:dyDescent="0.2">
      <c r="A146" s="57"/>
      <c r="B146" s="29"/>
      <c r="C146" s="12" t="s">
        <v>9</v>
      </c>
      <c r="D146" s="13">
        <f t="shared" ref="D146:I146" si="14">SUM(D46:D145)</f>
        <v>0</v>
      </c>
      <c r="E146" s="13">
        <f t="shared" si="14"/>
        <v>0</v>
      </c>
      <c r="F146" s="13">
        <f t="shared" si="14"/>
        <v>6</v>
      </c>
      <c r="G146" s="13">
        <f t="shared" si="14"/>
        <v>12.96</v>
      </c>
      <c r="H146" s="13">
        <f t="shared" si="14"/>
        <v>4.8600000000000012</v>
      </c>
      <c r="I146" s="13">
        <f t="shared" si="14"/>
        <v>0</v>
      </c>
      <c r="J146" s="14"/>
      <c r="K146" s="15"/>
      <c r="L146" s="16" t="s">
        <v>76</v>
      </c>
      <c r="M146" s="17">
        <f>MAX(M46:M145)</f>
        <v>1237.3733888888892</v>
      </c>
      <c r="N146" s="13">
        <f>SUM(N46:N145)</f>
        <v>0</v>
      </c>
      <c r="O146" s="13">
        <f>SUM(O46:O145)</f>
        <v>0</v>
      </c>
      <c r="P146" s="13">
        <f>SUM(P46:P145)</f>
        <v>12.96</v>
      </c>
      <c r="Q146" s="13">
        <f>SUM(Q46:Q145)</f>
        <v>4.8600000000000012</v>
      </c>
      <c r="R146" s="13">
        <f>SUM(R46:R145)</f>
        <v>0</v>
      </c>
      <c r="S146" s="38"/>
      <c r="T146" s="18"/>
    </row>
    <row r="147" spans="1:23" s="58" customFormat="1" ht="14.25" x14ac:dyDescent="0.25">
      <c r="A147" s="57"/>
      <c r="B147" s="29"/>
      <c r="C147" s="3"/>
      <c r="D147" s="3"/>
      <c r="E147" s="3"/>
      <c r="F147" s="3"/>
      <c r="G147" s="3"/>
      <c r="H147" s="3"/>
      <c r="I147" s="18"/>
      <c r="J147" s="3"/>
      <c r="K147" s="3"/>
      <c r="L147" s="19" t="s">
        <v>77</v>
      </c>
      <c r="M147" s="31">
        <f>MIN(M46:M145)</f>
        <v>1147.2372777777778</v>
      </c>
      <c r="N147" s="191" t="s">
        <v>25</v>
      </c>
      <c r="O147" s="191"/>
      <c r="P147" s="191"/>
      <c r="Q147" s="191"/>
      <c r="R147" s="191"/>
      <c r="S147" s="36"/>
      <c r="T147" s="18"/>
    </row>
    <row r="148" spans="1:23" s="58" customFormat="1" ht="14.25" x14ac:dyDescent="0.25">
      <c r="A148" s="57"/>
      <c r="B148" s="29"/>
      <c r="C148" s="3"/>
      <c r="D148" s="3"/>
      <c r="E148" s="3"/>
      <c r="F148" s="3"/>
      <c r="G148" s="3"/>
      <c r="H148" s="3"/>
      <c r="I148" s="18"/>
      <c r="J148" s="3"/>
      <c r="K148" s="3"/>
      <c r="L148" s="19" t="s">
        <v>111</v>
      </c>
      <c r="M148" s="74">
        <f>SQRT(SUMSQ(L31:L32))/G42</f>
        <v>11.458534543687898</v>
      </c>
      <c r="N148" s="20">
        <f>D151</f>
        <v>0</v>
      </c>
      <c r="O148" s="21">
        <f>MAX(E159:E163)</f>
        <v>1.4</v>
      </c>
      <c r="P148" s="22" t="s">
        <v>3</v>
      </c>
      <c r="Q148" s="20">
        <f>D152</f>
        <v>0</v>
      </c>
      <c r="R148" s="21">
        <f>MAX(D159:D163)</f>
        <v>2.2999999999999998</v>
      </c>
      <c r="S148" s="39"/>
      <c r="T148" s="18"/>
    </row>
    <row r="149" spans="1:23" s="58" customFormat="1" x14ac:dyDescent="0.2">
      <c r="A149" s="57"/>
      <c r="B149" s="29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0">
        <f>D151</f>
        <v>0</v>
      </c>
      <c r="O149" s="21">
        <f>MIN(E159:E163)</f>
        <v>-1.4</v>
      </c>
      <c r="P149" s="22" t="s">
        <v>4</v>
      </c>
      <c r="Q149" s="20">
        <f>D152</f>
        <v>0</v>
      </c>
      <c r="R149" s="21">
        <f>MIN(D159:D163)</f>
        <v>-2.2999999999999998</v>
      </c>
      <c r="S149" s="39"/>
      <c r="T149" s="18"/>
    </row>
    <row r="150" spans="1:23" s="58" customFormat="1" hidden="1" x14ac:dyDescent="0.2">
      <c r="A150" s="57"/>
      <c r="B150" s="29"/>
      <c r="C150" s="192" t="s">
        <v>17</v>
      </c>
      <c r="D150" s="192"/>
      <c r="E150" s="192"/>
      <c r="F150" s="192"/>
      <c r="G150" s="192"/>
      <c r="H150" s="192" t="s">
        <v>18</v>
      </c>
      <c r="I150" s="192"/>
      <c r="J150" s="192"/>
      <c r="K150" s="192"/>
      <c r="L150" s="192"/>
      <c r="M150" s="24"/>
      <c r="N150" s="18"/>
      <c r="O150" s="18"/>
      <c r="P150" s="18"/>
      <c r="Q150" s="18"/>
      <c r="R150" s="18"/>
      <c r="S150" s="18"/>
      <c r="T150" s="18"/>
    </row>
    <row r="151" spans="1:23" s="58" customFormat="1" ht="14.25" hidden="1" x14ac:dyDescent="0.25">
      <c r="A151" s="57"/>
      <c r="B151" s="29"/>
      <c r="C151" s="25" t="s">
        <v>78</v>
      </c>
      <c r="D151" s="26">
        <f>SUMPRODUCT(D46:D145,F46:F145)/F146</f>
        <v>0</v>
      </c>
      <c r="E151" s="27"/>
      <c r="F151" s="27"/>
      <c r="G151" s="18"/>
      <c r="H151" s="25" t="s">
        <v>79</v>
      </c>
      <c r="I151" s="28">
        <f>Q146</f>
        <v>4.8600000000000012</v>
      </c>
      <c r="J151" s="27"/>
      <c r="K151" s="3"/>
      <c r="L151" s="88"/>
      <c r="M151" s="24"/>
      <c r="N151" s="18"/>
      <c r="O151" s="18"/>
      <c r="P151" s="18"/>
      <c r="Q151" s="18"/>
      <c r="R151" s="18"/>
      <c r="S151" s="18"/>
      <c r="T151" s="18"/>
    </row>
    <row r="152" spans="1:23" s="58" customFormat="1" ht="14.25" hidden="1" x14ac:dyDescent="0.25">
      <c r="A152" s="57"/>
      <c r="B152" s="29"/>
      <c r="C152" s="25" t="s">
        <v>80</v>
      </c>
      <c r="D152" s="26">
        <f>SUMPRODUCT(E46:E145,F46:F145)/F146</f>
        <v>0</v>
      </c>
      <c r="E152" s="27"/>
      <c r="F152" s="27"/>
      <c r="G152" s="18"/>
      <c r="H152" s="25" t="s">
        <v>81</v>
      </c>
      <c r="I152" s="28">
        <f>P146</f>
        <v>12.96</v>
      </c>
      <c r="J152" s="27"/>
      <c r="K152" s="3"/>
      <c r="L152" s="88"/>
      <c r="M152" s="24"/>
      <c r="N152" s="18"/>
      <c r="O152" s="18"/>
      <c r="P152" s="18"/>
      <c r="Q152" s="18"/>
      <c r="R152" s="18"/>
      <c r="S152" s="18"/>
      <c r="T152" s="18"/>
    </row>
    <row r="153" spans="1:23" s="58" customFormat="1" ht="14.25" hidden="1" x14ac:dyDescent="0.25">
      <c r="A153" s="57"/>
      <c r="B153" s="29"/>
      <c r="C153" s="27"/>
      <c r="D153" s="27"/>
      <c r="E153" s="27"/>
      <c r="F153" s="27"/>
      <c r="G153" s="18"/>
      <c r="H153" s="25" t="s">
        <v>82</v>
      </c>
      <c r="I153" s="28">
        <f>R146</f>
        <v>0</v>
      </c>
      <c r="J153" s="27"/>
      <c r="K153" s="3"/>
      <c r="L153" s="88"/>
      <c r="M153" s="24"/>
      <c r="N153" s="18"/>
      <c r="O153" s="18"/>
      <c r="P153" s="18"/>
      <c r="Q153" s="18"/>
      <c r="R153" s="18"/>
      <c r="S153" s="18"/>
      <c r="T153" s="18"/>
    </row>
    <row r="154" spans="1:23" s="58" customFormat="1" ht="23.25" customHeight="1" x14ac:dyDescent="0.3">
      <c r="A154" s="57"/>
      <c r="B154" s="189" t="s">
        <v>107</v>
      </c>
      <c r="C154" s="189"/>
      <c r="D154" s="189"/>
      <c r="E154" s="189"/>
      <c r="F154" s="189"/>
      <c r="G154" s="189"/>
      <c r="H154" s="189"/>
      <c r="I154" s="189"/>
      <c r="J154" s="189"/>
      <c r="K154" s="189"/>
      <c r="L154" s="189"/>
      <c r="M154" s="189"/>
      <c r="N154" s="189"/>
      <c r="O154" s="189"/>
      <c r="P154" s="189"/>
      <c r="Q154" s="189"/>
      <c r="R154" s="189"/>
      <c r="S154" s="189"/>
      <c r="T154" s="61"/>
    </row>
    <row r="155" spans="1:23" s="58" customFormat="1" ht="15.75" customHeight="1" x14ac:dyDescent="0.2">
      <c r="A155" s="57"/>
      <c r="B155" s="34"/>
      <c r="C155" s="34"/>
      <c r="D155" s="34"/>
      <c r="E155" s="34"/>
      <c r="F155" s="34"/>
      <c r="G155" s="34"/>
      <c r="H155" s="34"/>
      <c r="I155" s="34"/>
      <c r="J155" s="34" t="s">
        <v>3</v>
      </c>
      <c r="K155" s="34" t="s">
        <v>4</v>
      </c>
      <c r="L155" s="34"/>
      <c r="M155" s="18"/>
      <c r="N155" s="18"/>
      <c r="O155" s="18"/>
      <c r="P155" s="18"/>
      <c r="Q155" s="18"/>
      <c r="R155" s="18"/>
      <c r="S155" s="18"/>
      <c r="T155" s="18"/>
    </row>
    <row r="156" spans="1:23" s="58" customFormat="1" x14ac:dyDescent="0.2">
      <c r="A156" s="57"/>
      <c r="B156" s="34"/>
      <c r="C156" s="34" t="s">
        <v>19</v>
      </c>
      <c r="D156" s="34"/>
      <c r="E156" s="34"/>
      <c r="F156" s="34"/>
      <c r="G156" s="34"/>
      <c r="H156" s="34">
        <f>M146</f>
        <v>1237.3733888888892</v>
      </c>
      <c r="I156" s="34" t="s">
        <v>0</v>
      </c>
      <c r="J156" s="34">
        <f>VLOOKUP(H156,B46:M145,3,FALSE)</f>
        <v>-1.8</v>
      </c>
      <c r="K156" s="34">
        <f>VLOOKUP(H156,B46:M145,4,FALSE)</f>
        <v>-0.9</v>
      </c>
      <c r="L156" s="34">
        <f>VLOOKUP(H156,B46:M145,2,FALSE)</f>
        <v>2</v>
      </c>
      <c r="M156" s="29"/>
      <c r="N156" s="18"/>
      <c r="O156" s="18"/>
      <c r="P156" s="18"/>
      <c r="Q156" s="18"/>
      <c r="R156" s="18"/>
      <c r="S156" s="18"/>
      <c r="T156" s="18"/>
    </row>
    <row r="157" spans="1:23" s="58" customFormat="1" x14ac:dyDescent="0.2">
      <c r="A157" s="57"/>
      <c r="B157" s="34"/>
      <c r="C157" s="34" t="s">
        <v>20</v>
      </c>
      <c r="D157" s="34"/>
      <c r="E157" s="34"/>
      <c r="F157" s="34"/>
      <c r="G157" s="34"/>
      <c r="H157" s="34">
        <f>M147</f>
        <v>1147.2372777777778</v>
      </c>
      <c r="I157" s="34" t="s">
        <v>0</v>
      </c>
      <c r="J157" s="34">
        <f>VLOOKUP(H157,B46:M145,3,FALSE)</f>
        <v>1.8</v>
      </c>
      <c r="K157" s="34">
        <f>VLOOKUP(H157,B46:M145,4,FALSE)</f>
        <v>0.9</v>
      </c>
      <c r="L157" s="34">
        <f>VLOOKUP(H157,B46:M145,2,FALSE)</f>
        <v>5</v>
      </c>
      <c r="M157" s="3"/>
      <c r="N157" s="3"/>
      <c r="O157" s="18"/>
      <c r="P157" s="18"/>
      <c r="Q157" s="18"/>
      <c r="R157" s="18"/>
      <c r="S157" s="18"/>
      <c r="T157" s="18"/>
    </row>
    <row r="158" spans="1:23" s="52" customFormat="1" x14ac:dyDescent="0.2">
      <c r="A158" s="51"/>
      <c r="B158" s="29"/>
      <c r="C158" s="34" t="s">
        <v>10</v>
      </c>
      <c r="D158" s="34" t="s">
        <v>3</v>
      </c>
      <c r="E158" s="34" t="s">
        <v>4</v>
      </c>
      <c r="F158" s="30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50"/>
      <c r="V158" s="50"/>
      <c r="W158" s="50"/>
    </row>
    <row r="159" spans="1:23" s="52" customFormat="1" x14ac:dyDescent="0.2">
      <c r="A159" s="51"/>
      <c r="B159" s="29"/>
      <c r="C159" s="34">
        <v>1</v>
      </c>
      <c r="D159" s="35">
        <f>L5/2</f>
        <v>2.2999999999999998</v>
      </c>
      <c r="E159" s="35">
        <f>L6/2</f>
        <v>1.4</v>
      </c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50"/>
      <c r="V159" s="50"/>
      <c r="W159" s="50"/>
    </row>
    <row r="160" spans="1:23" s="52" customFormat="1" x14ac:dyDescent="0.2">
      <c r="A160" s="51"/>
      <c r="B160" s="29"/>
      <c r="C160" s="34">
        <v>2</v>
      </c>
      <c r="D160" s="35">
        <f>L5/2</f>
        <v>2.2999999999999998</v>
      </c>
      <c r="E160" s="35">
        <f>E159-L6</f>
        <v>-1.4</v>
      </c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50"/>
      <c r="V160" s="50"/>
      <c r="W160" s="50"/>
    </row>
    <row r="161" spans="1:23" s="52" customFormat="1" x14ac:dyDescent="0.2">
      <c r="A161" s="51"/>
      <c r="B161" s="29"/>
      <c r="C161" s="34">
        <v>3</v>
      </c>
      <c r="D161" s="35">
        <f>D160-L5</f>
        <v>-2.2999999999999998</v>
      </c>
      <c r="E161" s="35">
        <f>E159-L6</f>
        <v>-1.4</v>
      </c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50"/>
      <c r="V161" s="50"/>
      <c r="W161" s="50"/>
    </row>
    <row r="162" spans="1:23" s="52" customFormat="1" x14ac:dyDescent="0.2">
      <c r="A162" s="51"/>
      <c r="B162" s="29"/>
      <c r="C162" s="34">
        <v>4</v>
      </c>
      <c r="D162" s="35">
        <f>D160-L5</f>
        <v>-2.2999999999999998</v>
      </c>
      <c r="E162" s="35">
        <f>L6/2</f>
        <v>1.4</v>
      </c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50"/>
      <c r="V162" s="50"/>
      <c r="W162" s="50"/>
    </row>
    <row r="163" spans="1:23" s="52" customFormat="1" ht="18" x14ac:dyDescent="0.2">
      <c r="A163" s="51"/>
      <c r="B163" s="29"/>
      <c r="C163" s="34">
        <v>5</v>
      </c>
      <c r="D163" s="35">
        <f>D159</f>
        <v>2.2999999999999998</v>
      </c>
      <c r="E163" s="35">
        <f>E159</f>
        <v>1.4</v>
      </c>
      <c r="F163" s="3"/>
      <c r="G163" s="3"/>
      <c r="H163" s="3"/>
      <c r="I163" s="3"/>
      <c r="J163" s="3"/>
      <c r="K163" s="3"/>
      <c r="L163" s="3"/>
      <c r="M163" s="3"/>
      <c r="N163" s="62" t="s">
        <v>109</v>
      </c>
      <c r="O163" s="63">
        <f>$M$146</f>
        <v>1237.3733888888892</v>
      </c>
      <c r="P163" s="64" t="s">
        <v>8</v>
      </c>
      <c r="Q163" s="3"/>
      <c r="R163" s="3"/>
      <c r="S163" s="3"/>
      <c r="T163" s="3"/>
      <c r="U163" s="50"/>
      <c r="V163" s="50"/>
      <c r="W163" s="50"/>
    </row>
    <row r="164" spans="1:23" s="52" customFormat="1" ht="18" x14ac:dyDescent="0.3">
      <c r="A164" s="51"/>
      <c r="B164" s="2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65" t="s">
        <v>110</v>
      </c>
      <c r="O164" s="66">
        <f>$M$147</f>
        <v>1147.2372777777778</v>
      </c>
      <c r="P164" s="67" t="s">
        <v>8</v>
      </c>
      <c r="Q164" s="3"/>
      <c r="R164" s="3"/>
      <c r="S164" s="3"/>
      <c r="T164" s="3"/>
      <c r="U164" s="50"/>
      <c r="V164" s="50"/>
      <c r="W164" s="50"/>
    </row>
    <row r="165" spans="1:23" s="52" customFormat="1" ht="18" x14ac:dyDescent="0.3">
      <c r="A165" s="51"/>
      <c r="B165" s="29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70"/>
      <c r="N165" s="71" t="s">
        <v>112</v>
      </c>
      <c r="O165" s="72">
        <f>$M$148</f>
        <v>11.458534543687898</v>
      </c>
      <c r="P165" s="73" t="s">
        <v>8</v>
      </c>
      <c r="Q165" s="70"/>
      <c r="R165" s="3"/>
      <c r="S165" s="3"/>
      <c r="T165" s="3"/>
      <c r="U165" s="50"/>
      <c r="V165" s="50"/>
      <c r="W165" s="50"/>
    </row>
    <row r="166" spans="1:23" s="52" customFormat="1" x14ac:dyDescent="0.2">
      <c r="A166" s="51"/>
      <c r="B166" s="29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50"/>
      <c r="V166" s="50"/>
      <c r="W166" s="50"/>
    </row>
    <row r="167" spans="1:23" s="52" customFormat="1" x14ac:dyDescent="0.2">
      <c r="A167" s="51"/>
      <c r="B167" s="29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50"/>
      <c r="V167" s="50"/>
      <c r="W167" s="50"/>
    </row>
    <row r="168" spans="1:23" s="52" customFormat="1" x14ac:dyDescent="0.2">
      <c r="A168" s="51"/>
      <c r="B168" s="29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50"/>
      <c r="V168" s="50"/>
      <c r="W168" s="50"/>
    </row>
    <row r="169" spans="1:23" s="52" customFormat="1" x14ac:dyDescent="0.2">
      <c r="A169" s="51"/>
      <c r="B169" s="29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50"/>
      <c r="V169" s="50"/>
      <c r="W169" s="50"/>
    </row>
    <row r="170" spans="1:23" s="52" customFormat="1" x14ac:dyDescent="0.2">
      <c r="A170" s="51"/>
      <c r="B170" s="29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50"/>
      <c r="V170" s="50"/>
      <c r="W170" s="50"/>
    </row>
    <row r="171" spans="1:23" s="52" customFormat="1" x14ac:dyDescent="0.2">
      <c r="A171" s="51"/>
      <c r="B171" s="29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50"/>
      <c r="V171" s="50"/>
      <c r="W171" s="50"/>
    </row>
    <row r="172" spans="1:23" s="52" customFormat="1" x14ac:dyDescent="0.2">
      <c r="A172" s="51"/>
      <c r="B172" s="29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50"/>
      <c r="V172" s="50"/>
      <c r="W172" s="50"/>
    </row>
    <row r="173" spans="1:23" s="52" customFormat="1" x14ac:dyDescent="0.2">
      <c r="A173" s="51"/>
      <c r="B173" s="29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50"/>
      <c r="V173" s="50"/>
      <c r="W173" s="50"/>
    </row>
    <row r="174" spans="1:23" s="52" customFormat="1" x14ac:dyDescent="0.2">
      <c r="A174" s="51"/>
      <c r="B174" s="29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50"/>
      <c r="V174" s="50"/>
      <c r="W174" s="50"/>
    </row>
    <row r="175" spans="1:23" s="52" customFormat="1" x14ac:dyDescent="0.2">
      <c r="A175" s="51"/>
      <c r="B175" s="29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50"/>
      <c r="V175" s="50"/>
      <c r="W175" s="50"/>
    </row>
    <row r="176" spans="1:23" s="52" customFormat="1" x14ac:dyDescent="0.2">
      <c r="A176" s="51"/>
      <c r="B176" s="29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50"/>
      <c r="V176" s="50"/>
      <c r="W176" s="50"/>
    </row>
    <row r="177" spans="1:23" s="52" customFormat="1" x14ac:dyDescent="0.2">
      <c r="A177" s="51"/>
      <c r="B177" s="2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50"/>
      <c r="V177" s="50"/>
      <c r="W177" s="50"/>
    </row>
    <row r="178" spans="1:23" s="52" customFormat="1" x14ac:dyDescent="0.2">
      <c r="A178" s="51"/>
      <c r="B178" s="29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50"/>
      <c r="V178" s="50"/>
      <c r="W178" s="50"/>
    </row>
    <row r="179" spans="1:23" s="52" customFormat="1" x14ac:dyDescent="0.2">
      <c r="A179" s="51"/>
      <c r="B179" s="29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50"/>
      <c r="V179" s="50"/>
      <c r="W179" s="50"/>
    </row>
    <row r="180" spans="1:23" s="52" customFormat="1" x14ac:dyDescent="0.2">
      <c r="A180" s="51"/>
      <c r="B180" s="29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50"/>
      <c r="V180" s="50"/>
      <c r="W180" s="50"/>
    </row>
    <row r="181" spans="1:23" s="52" customFormat="1" x14ac:dyDescent="0.2">
      <c r="A181" s="51"/>
      <c r="B181" s="29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50"/>
      <c r="V181" s="50"/>
      <c r="W181" s="50"/>
    </row>
    <row r="182" spans="1:23" s="52" customFormat="1" x14ac:dyDescent="0.2">
      <c r="A182" s="51"/>
      <c r="B182" s="29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50"/>
      <c r="V182" s="50"/>
      <c r="W182" s="50"/>
    </row>
    <row r="183" spans="1:23" s="52" customFormat="1" x14ac:dyDescent="0.2">
      <c r="A183" s="51"/>
      <c r="B183" s="29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50"/>
      <c r="V183" s="50"/>
      <c r="W183" s="50"/>
    </row>
    <row r="184" spans="1:23" s="52" customFormat="1" x14ac:dyDescent="0.2">
      <c r="A184" s="51"/>
      <c r="B184" s="29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50"/>
      <c r="V184" s="50"/>
      <c r="W184" s="50"/>
    </row>
    <row r="185" spans="1:23" s="52" customFormat="1" x14ac:dyDescent="0.2">
      <c r="A185" s="51"/>
      <c r="B185" s="29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50"/>
      <c r="V185" s="50"/>
      <c r="W185" s="50"/>
    </row>
    <row r="186" spans="1:23" s="52" customFormat="1" x14ac:dyDescent="0.2">
      <c r="A186" s="51"/>
      <c r="B186" s="29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50"/>
      <c r="V186" s="50"/>
      <c r="W186" s="50"/>
    </row>
    <row r="187" spans="1:23" s="52" customFormat="1" x14ac:dyDescent="0.2">
      <c r="A187" s="51"/>
      <c r="B187" s="29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50"/>
      <c r="V187" s="50"/>
      <c r="W187" s="50"/>
    </row>
    <row r="188" spans="1:23" s="52" customFormat="1" hidden="1" x14ac:dyDescent="0.2">
      <c r="A188" s="51"/>
      <c r="B188" s="29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50"/>
      <c r="V188" s="50"/>
      <c r="W188" s="50"/>
    </row>
    <row r="189" spans="1:23" s="52" customFormat="1" x14ac:dyDescent="0.2">
      <c r="A189" s="51"/>
      <c r="B189" s="29"/>
      <c r="C189" s="3"/>
      <c r="D189" s="3"/>
      <c r="E189" s="3"/>
      <c r="F189" s="3"/>
      <c r="M189" s="3"/>
      <c r="N189" s="3"/>
      <c r="O189" s="3"/>
      <c r="P189" s="3"/>
      <c r="Q189" s="3"/>
      <c r="R189" s="3"/>
      <c r="S189" s="3"/>
      <c r="T189" s="3"/>
      <c r="U189" s="50"/>
      <c r="V189" s="50"/>
      <c r="W189" s="50"/>
    </row>
    <row r="190" spans="1:23" s="52" customFormat="1" x14ac:dyDescent="0.2">
      <c r="A190" s="51"/>
      <c r="B190" s="55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3"/>
      <c r="U190" s="50"/>
      <c r="V190" s="50"/>
      <c r="W190" s="50"/>
    </row>
    <row r="191" spans="1:23" s="52" customFormat="1" x14ac:dyDescent="0.2">
      <c r="A191" s="51"/>
      <c r="B191" s="59"/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3"/>
      <c r="U191" s="50"/>
      <c r="V191" s="50"/>
      <c r="W191" s="50"/>
    </row>
    <row r="192" spans="1:23" s="52" customFormat="1" x14ac:dyDescent="0.2">
      <c r="A192" s="51"/>
      <c r="B192" s="59"/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3"/>
      <c r="U192" s="50"/>
      <c r="V192" s="50"/>
      <c r="W192" s="50"/>
    </row>
    <row r="193" spans="1:23" s="52" customFormat="1" x14ac:dyDescent="0.2">
      <c r="A193" s="51"/>
      <c r="B193" s="59"/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3"/>
      <c r="U193" s="50"/>
      <c r="V193" s="50"/>
      <c r="W193" s="50"/>
    </row>
    <row r="194" spans="1:23" s="52" customFormat="1" x14ac:dyDescent="0.2">
      <c r="A194" s="51"/>
      <c r="B194" s="59"/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3"/>
      <c r="U194" s="50"/>
      <c r="V194" s="50"/>
      <c r="W194" s="50"/>
    </row>
    <row r="195" spans="1:23" s="52" customFormat="1" x14ac:dyDescent="0.2">
      <c r="A195" s="51"/>
      <c r="B195" s="59"/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3"/>
      <c r="U195" s="50"/>
      <c r="V195" s="50"/>
      <c r="W195" s="50"/>
    </row>
    <row r="196" spans="1:23" s="52" customFormat="1" x14ac:dyDescent="0.2">
      <c r="A196" s="51"/>
      <c r="B196" s="59"/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3"/>
      <c r="U196" s="50"/>
      <c r="V196" s="50"/>
      <c r="W196" s="50"/>
    </row>
    <row r="197" spans="1:23" s="52" customFormat="1" x14ac:dyDescent="0.2">
      <c r="A197" s="51"/>
      <c r="B197" s="59"/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3"/>
      <c r="U197" s="50"/>
      <c r="V197" s="50"/>
      <c r="W197" s="50"/>
    </row>
    <row r="198" spans="1:23" s="52" customFormat="1" x14ac:dyDescent="0.2">
      <c r="A198" s="51"/>
      <c r="B198" s="59"/>
      <c r="C198" s="50"/>
      <c r="D198" s="50"/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3"/>
      <c r="U198" s="50"/>
      <c r="V198" s="50"/>
      <c r="W198" s="50"/>
    </row>
    <row r="199" spans="1:23" s="52" customFormat="1" x14ac:dyDescent="0.2">
      <c r="A199" s="51"/>
      <c r="B199" s="59"/>
      <c r="C199" s="50"/>
      <c r="D199" s="50"/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3"/>
      <c r="U199" s="50"/>
      <c r="V199" s="50"/>
      <c r="W199" s="50"/>
    </row>
    <row r="200" spans="1:23" x14ac:dyDescent="0.2">
      <c r="B200" s="59"/>
    </row>
  </sheetData>
  <mergeCells count="27">
    <mergeCell ref="B3:S3"/>
    <mergeCell ref="AC9:AC11"/>
    <mergeCell ref="AD9:AD11"/>
    <mergeCell ref="AE9:AE11"/>
    <mergeCell ref="AC24:AC26"/>
    <mergeCell ref="AD24:AD26"/>
    <mergeCell ref="AE24:AE26"/>
    <mergeCell ref="C25:H26"/>
    <mergeCell ref="C38:G38"/>
    <mergeCell ref="C27:G27"/>
    <mergeCell ref="C28:G28"/>
    <mergeCell ref="C29:G29"/>
    <mergeCell ref="C30:G30"/>
    <mergeCell ref="C31:G31"/>
    <mergeCell ref="C32:G32"/>
    <mergeCell ref="C33:G33"/>
    <mergeCell ref="C34:G34"/>
    <mergeCell ref="C35:G35"/>
    <mergeCell ref="C36:G36"/>
    <mergeCell ref="C37:G37"/>
    <mergeCell ref="B154:S154"/>
    <mergeCell ref="C40:M40"/>
    <mergeCell ref="C42:E42"/>
    <mergeCell ref="N42:R43"/>
    <mergeCell ref="N147:R147"/>
    <mergeCell ref="C150:G150"/>
    <mergeCell ref="H150:L150"/>
  </mergeCells>
  <conditionalFormatting sqref="Q30">
    <cfRule type="cellIs" dxfId="0" priority="1" operator="lessThan">
      <formula>$L$30</formula>
    </cfRule>
  </conditionalFormatting>
  <dataValidations count="1">
    <dataValidation type="list" allowBlank="1" showInputMessage="1" showErrorMessage="1" sqref="O19">
      <formula1>$O$16:$O$17</formula1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9" scale="75" fitToHeight="0" orientation="landscape" r:id="rId1"/>
  <headerFooter scaleWithDoc="0" alignWithMargins="0"/>
  <rowBreaks count="2" manualBreakCount="2">
    <brk id="38" min="1" max="19" man="1"/>
    <brk id="149" min="1" max="1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Zakresy nazwane</vt:lpstr>
      </vt:variant>
      <vt:variant>
        <vt:i4>2</vt:i4>
      </vt:variant>
    </vt:vector>
  </HeadingPairs>
  <TitlesOfParts>
    <vt:vector size="4" baseType="lpstr">
      <vt:lpstr>MSO-B47</vt:lpstr>
      <vt:lpstr>W9 (6 szt.)</vt:lpstr>
      <vt:lpstr>'MSO-B47'!Obszar_wydruku</vt:lpstr>
      <vt:lpstr>'W9 (6 szt.)'!Obszar_wydruku</vt:lpstr>
    </vt:vector>
  </TitlesOfParts>
  <Company>Keller Polska sp. z o.o.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Weydmann</dc:creator>
  <cp:lastModifiedBy>Tomek_Z</cp:lastModifiedBy>
  <cp:lastPrinted>2019-07-20T15:08:22Z</cp:lastPrinted>
  <dcterms:created xsi:type="dcterms:W3CDTF">2002-05-08T06:52:57Z</dcterms:created>
  <dcterms:modified xsi:type="dcterms:W3CDTF">2022-08-18T07:19:10Z</dcterms:modified>
</cp:coreProperties>
</file>